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ac904b801842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档说明" sheetId="1" r:id="Rc3d56870b9a64d51"/>
    <x:sheet xmlns:r="http://schemas.openxmlformats.org/officeDocument/2006/relationships" name="指标配置" sheetId="2" r:id="Rc315c1812215450d"/>
    <x:sheet xmlns:r="http://schemas.openxmlformats.org/officeDocument/2006/relationships" name="模块汇总" sheetId="3" r:id="R65d5335b380a4856"/>
    <x:sheet xmlns:r="http://schemas.openxmlformats.org/officeDocument/2006/relationships" name="分值映射" sheetId="4" r:id="R72ac9a2d37a94375"/>
    <x:sheet xmlns:r="http://schemas.openxmlformats.org/officeDocument/2006/relationships" name="数据字典" sheetId="5" r:id="Red77f16726d146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2"/>
      <x:color rgb="FF167C80"/>
      <x:name val="Carlito"/>
    </x:font>
    <x:font>
      <x:sz val="11"/>
      <x:color rgb="FF18324A"/>
      <x:name val="Carlito"/>
    </x:font>
    <x:font>
      <x:b/>
      <x:sz val="15"/>
      <x:color rgb="FF167C80"/>
      <x:name val="Carlito"/>
    </x:font>
    <x:font>
      <x:b/>
      <x:sz val="13"/>
      <x:color rgb="FF167C80"/>
      <x:name val="Carlito"/>
    </x:font>
    <x:font>
      <x:sz val="10"/>
      <x:color rgb="FF18324A"/>
      <x:name val="Carlito"/>
    </x:font>
    <x:font>
      <x:b/>
      <x:sz val="10"/>
      <x:color rgb="FFFFFFFF"/>
      <x:name val="Carlito"/>
    </x:font>
    <x:font>
      <x:b/>
      <x:sz val="11"/>
      <x:color rgb="FF18324A"/>
      <x:name val="Carlito"/>
    </x:font>
    <x:font>
      <x:b/>
      <x:sz val="10"/>
      <x:color rgb="FF18324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AF2F8"/>
      </x:patternFill>
    </x:fill>
    <x:fill>
      <x:patternFill patternType="solid">
        <x:fgColor rgb="FFDDF1F0"/>
      </x:patternFill>
    </x:fill>
    <x:fill>
      <x:patternFill patternType="solid">
        <x:fgColor rgb="FFF3F5F7"/>
      </x:patternFill>
    </x:fill>
    <x:fill>
      <x:patternFill patternType="solid">
        <x:fgColor rgb="FFFFFFFF"/>
      </x:patternFill>
    </x:fill>
    <x:fill>
      <x:patternFill patternType="solid">
        <x:fgColor rgb="FF167C80"/>
      </x:patternFill>
    </x:fill>
    <x:fill>
      <x:patternFill patternType="solid">
        <x:fgColor rgb="FFFFF4D6"/>
      </x:patternFill>
    </x:fill>
  </x:fills>
  <x:borders count="10">
    <x:border/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5" fillId="5" borderId="2" xfId="0" applyNumberFormat="1" applyFont="1" applyFill="1" applyBorder="1"/>
    <x:xf numFmtId="0" fontId="5" fillId="5" borderId="4" xfId="0" applyNumberFormat="1" applyFont="1" applyFill="1" applyBorder="1"/>
    <x:xf numFmtId="0" fontId="5" fillId="5" borderId="6" xfId="0" applyNumberFormat="1" applyFont="1" applyFill="1" applyBorder="1"/>
    <x:xf numFmtId="0" fontId="5" fillId="5" borderId="2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/>
    </x:xf>
    <x:xf numFmtId="0" fontId="5" fillId="5" borderId="6" xfId="0" applyNumberFormat="1" applyFont="1" applyFill="1" applyBorder="1" applyAlignment="1">
      <x:alignment horizontal="center"/>
    </x:xf>
    <x:xf numFmtId="0" fontId="6" fillId="5" borderId="2" xfId="0" applyNumberFormat="1" applyFont="1" applyFill="1" applyBorder="1"/>
    <x:xf numFmtId="0" fontId="6" fillId="5" borderId="4" xfId="0" applyNumberFormat="1" applyFont="1" applyFill="1" applyBorder="1"/>
    <x:xf numFmtId="0" fontId="6" fillId="5" borderId="6" xfId="0" applyNumberFormat="1" applyFont="1" applyFill="1" applyBorder="1"/>
    <x:xf numFmtId="0" fontId="6" fillId="5" borderId="2" xfId="0" applyNumberFormat="1" applyFont="1" applyFill="1" applyBorder="1" applyAlignment="1">
      <x:alignment horizontal="center"/>
    </x:xf>
    <x:xf numFmtId="0" fontId="6" fillId="5" borderId="4" xfId="0" applyNumberFormat="1" applyFont="1" applyFill="1" applyBorder="1" applyAlignment="1">
      <x:alignment horizontal="center"/>
    </x:xf>
    <x:xf numFmtId="0" fontId="6" fillId="5" borderId="6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7" xfId="0" applyNumberFormat="1" applyFont="1" applyFill="1" applyBorder="1"/>
    <x:xf numFmtId="0" fontId="8" fillId="7" borderId="7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horizontal="center" wrapText="1"/>
    </x:xf>
    <x:xf numFmtId="0" fontId="8" fillId="7" borderId="7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200" fontId="7" fillId="0" borderId="8" xfId="0" applyNumberFormat="1" applyFont="1" applyFill="1" applyBorder="1" applyAlignment="1">
      <x:alignment vertical="center" wrapText="1"/>
    </x:xf>
    <x:xf numFmtId="200" fontId="7" fillId="0" borderId="9" xfId="0" applyNumberFormat="1" applyFont="1" applyFill="1" applyBorder="1" applyAlignment="1">
      <x:alignment vertical="center" wrapText="1"/>
    </x:xf>
    <x:xf numFmtId="0" fontId="7" fillId="0" borderId="8" xfId="0" applyNumberFormat="1" applyFont="1" applyFill="1" applyBorder="1" applyAlignment="1">
      <x:alignment horizontal="center" vertical="center" wrapText="1"/>
    </x:xf>
    <x:xf numFmtId="0" fontId="7" fillId="0" borderId="9" xfId="0" applyNumberFormat="1" applyFont="1" applyFill="1" applyBorder="1" applyAlignment="1">
      <x:alignment horizontal="center" vertical="center" wrapText="1"/>
    </x:xf>
    <x:xf numFmtId="200" fontId="7" fillId="0" borderId="8" xfId="0" applyNumberFormat="1" applyFont="1" applyFill="1" applyBorder="1" applyAlignment="1">
      <x:alignment horizontal="center" vertical="center" wrapText="1"/>
    </x:xf>
    <x:xf numFmtId="200" fontId="7" fillId="0" borderId="9" xfId="0" applyNumberFormat="1" applyFont="1" applyFill="1" applyBorder="1" applyAlignment="1">
      <x:alignment horizontal="center" vertical="center" wrapText="1"/>
    </x:xf>
    <x:xf numFmtId="0" fontId="7" fillId="3" borderId="8" xfId="0" applyNumberFormat="1" applyFont="1" applyFill="1" applyBorder="1" applyAlignment="1">
      <x:alignment horizontal="center" vertical="center" wrapText="1"/>
    </x:xf>
    <x:xf numFmtId="0" fontId="7" fillId="3" borderId="8" xfId="0" applyNumberFormat="1" applyFont="1" applyFill="1" applyBorder="1" applyAlignment="1">
      <x:alignment vertical="center" wrapText="1"/>
    </x:xf>
    <x:xf numFmtId="200" fontId="7" fillId="3" borderId="8" xfId="0" applyNumberFormat="1" applyFont="1" applyFill="1" applyBorder="1" applyAlignment="1">
      <x:alignment horizontal="center" vertical="center" wrapText="1"/>
    </x:xf>
    <x:xf numFmtId="0" fontId="10" fillId="3" borderId="8" xfId="0" applyNumberFormat="1" applyFont="1" applyFill="1" applyBorder="1" applyAlignment="1">
      <x:alignment horizontal="center" vertical="center" wrapText="1"/>
    </x:xf>
    <x:xf numFmtId="0" fontId="10" fillId="3" borderId="8" xfId="0" applyNumberFormat="1" applyFont="1" applyFill="1" applyBorder="1" applyAlignment="1">
      <x:alignment vertical="center" wrapText="1"/>
    </x:xf>
    <x:xf numFmtId="200" fontId="10" fillId="3" borderId="8" xfId="0" applyNumberFormat="1" applyFont="1" applyFill="1" applyBorder="1" applyAlignment="1">
      <x:alignment horizontal="center" vertical="center" wrapText="1"/>
    </x:xf>
    <x:xf numFmtId="0" fontId="7" fillId="8" borderId="9" xfId="0" applyNumberFormat="1" applyFont="1" applyFill="1" applyBorder="1" applyAlignment="1">
      <x:alignment horizontal="center" vertical="center" wrapText="1"/>
    </x:xf>
    <x:xf numFmtId="0" fontId="7" fillId="8" borderId="9" xfId="0" applyNumberFormat="1" applyFont="1" applyFill="1" applyBorder="1" applyAlignment="1">
      <x:alignment vertical="center" wrapText="1"/>
    </x:xf>
    <x:xf numFmtId="200" fontId="7" fillId="8" borderId="9" xfId="0" applyNumberFormat="1" applyFont="1" applyFill="1" applyBorder="1" applyAlignment="1">
      <x:alignment horizontal="center" vertical="center" wrapText="1"/>
    </x:xf>
    <x:xf numFmtId="0" fontId="7" fillId="3" borderId="9" xfId="0" applyNumberFormat="1" applyFont="1" applyFill="1" applyBorder="1" applyAlignment="1">
      <x:alignment horizontal="center" vertical="center" wrapText="1"/>
    </x:xf>
    <x:xf numFmtId="0" fontId="7" fillId="3" borderId="9" xfId="0" applyNumberFormat="1" applyFont="1" applyFill="1" applyBorder="1" applyAlignment="1">
      <x:alignment vertical="center" wrapText="1"/>
    </x:xf>
    <x:xf numFmtId="200" fontId="7" fillId="3" borderId="9" xfId="0" applyNumberFormat="1" applyFont="1" applyFill="1" applyBorder="1" applyAlignment="1">
      <x:alignment horizontal="center" vertical="center" wrapText="1"/>
    </x:xf>
    <x:xf numFmtId="0" fontId="10" fillId="3" borderId="9" xfId="0" applyNumberFormat="1" applyFont="1" applyFill="1" applyBorder="1" applyAlignment="1">
      <x:alignment horizontal="center" vertical="center" wrapText="1"/>
    </x:xf>
    <x:xf numFmtId="0" fontId="10" fillId="3" borderId="9" xfId="0" applyNumberFormat="1" applyFont="1" applyFill="1" applyBorder="1" applyAlignment="1">
      <x:alignment vertical="center" wrapText="1"/>
    </x:xf>
    <x:xf numFmtId="200" fontId="10" fillId="3" borderId="9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98754"/>
      </x:font>
      <x:fill>
        <x:patternFill patternType="solid">
          <x:bgColor rgb="FFE3F3E8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5b3a2159d34f41" /><Relationship Type="http://schemas.openxmlformats.org/officeDocument/2006/relationships/theme" Target="/xl/theme/theme1.xml" Id="Rc60235d136184413" /><Relationship Type="http://schemas.openxmlformats.org/officeDocument/2006/relationships/sharedStrings" Target="/xl/sharedStrings.xml" Id="Re2acef36ebcb45e9" /><Relationship Type="http://schemas.openxmlformats.org/officeDocument/2006/relationships/worksheet" Target="/xl/worksheets/sheet1.xml" Id="Rc3d56870b9a64d51" /><Relationship Type="http://schemas.openxmlformats.org/officeDocument/2006/relationships/worksheet" Target="/xl/worksheets/sheet2.xml" Id="Rc315c1812215450d" /><Relationship Type="http://schemas.openxmlformats.org/officeDocument/2006/relationships/worksheet" Target="/xl/worksheets/sheet3.xml" Id="R65d5335b380a4856" /><Relationship Type="http://schemas.openxmlformats.org/officeDocument/2006/relationships/worksheet" Target="/xl/worksheets/sheet4.xml" Id="R72ac9a2d37a94375" /><Relationship Type="http://schemas.openxmlformats.org/officeDocument/2006/relationships/worksheet" Target="/xl/worksheets/sheet5.xml" Id="Red77f16726d146bc" /></Relationships>
</file>

<file path=xl/tables/table1.xml><?xml version="1.0" encoding="utf-8"?>
<x:table xmlns:x="http://schemas.openxmlformats.org/spreadsheetml/2006/main" id="1" name="IndicatorConfigTable" displayName="IndicatorConfigTable" ref="A6:M52" headerRowCount="1" totalsRowCount="0" totalsRowShown="0">
  <x:tableColumns count="13">
    <x:tableColumn id="1" name="序号"/>
    <x:tableColumn id="2" name="模块编号"/>
    <x:tableColumn id="3" name="展现模块"/>
    <x:tableColumn id="4" name="记录层级"/>
    <x:tableColumn id="5" name="页面展现器官组织指标"/>
    <x:tableColumn id="6" name="详细指标"/>
    <x:tableColumn id="7" name="指标角色"/>
    <x:tableColumn id="8" name="计算权重"/>
    <x:tableColumn id="9" name="方案一展现方式"/>
    <x:tableColumn id="10" name="输出范围/格式"/>
    <x:tableColumn id="11" name="数据来源"/>
    <x:tableColumn id="12" name="是否纳入模块加权"/>
    <x:tableColumn id="13" name="实现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92bf19595542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3" t="str">
        <x:v>抗衰健康指标｜展现方案一数据文档</x:v>
      </x:c>
      <x:c r="B1" s="3" t="str">
        <x:v>抗衰健康指标｜展现方案一数据文档</x:v>
      </x:c>
      <x:c r="C1" s="3" t="str">
        <x:v>抗衰健康指标｜展现方案一数据文档</x:v>
      </x:c>
      <x:c r="D1" s="3" t="str">
        <x:v>抗衰健康指标｜展现方案一数据文档</x:v>
      </x:c>
      <x:c r="E1" s="3" t="str">
        <x:v>抗衰健康指标｜展现方案一数据文档</x:v>
      </x:c>
      <x:c r="F1" s="3" t="str">
        <x:v>抗衰健康指标｜展现方案一数据文档</x:v>
      </x:c>
      <x:c r="G1" s="3" t="str">
        <x:v>抗衰健康指标｜展现方案一数据文档</x:v>
      </x:c>
      <x:c r="H1" s="3" t="str">
        <x:v>抗衰健康指标｜展现方案一数据文档</x:v>
      </x:c>
    </x:row>
    <x:row r="2" ht="30" customHeight="1">
      <x:c r="A2" s="7" t="str">
        <x:v>依据《数据图.jpg》整理；仅保留展现方案一。本文档用于产品、设计、研发和数据配置对齐，不构成医学诊断结论。</x:v>
      </x:c>
      <x:c r="B2" s="7" t="str">
        <x:v>依据《数据图.jpg》整理；仅保留展现方案一。本文档用于产品、设计、研发和数据配置对齐，不构成医学诊断结论。</x:v>
      </x:c>
      <x:c r="C2" s="7" t="str">
        <x:v>依据《数据图.jpg》整理；仅保留展现方案一。本文档用于产品、设计、研发和数据配置对齐，不构成医学诊断结论。</x:v>
      </x:c>
      <x:c r="D2" s="7" t="str">
        <x:v>依据《数据图.jpg》整理；仅保留展现方案一。本文档用于产品、设计、研发和数据配置对齐，不构成医学诊断结论。</x:v>
      </x:c>
      <x:c r="E2" s="7" t="str">
        <x:v>依据《数据图.jpg》整理；仅保留展现方案一。本文档用于产品、设计、研发和数据配置对齐，不构成医学诊断结论。</x:v>
      </x:c>
      <x:c r="F2" s="7" t="str">
        <x:v>依据《数据图.jpg》整理；仅保留展现方案一。本文档用于产品、设计、研发和数据配置对齐，不构成医学诊断结论。</x:v>
      </x:c>
      <x:c r="G2" s="7" t="str">
        <x:v>依据《数据图.jpg》整理；仅保留展现方案一。本文档用于产品、设计、研发和数据配置对齐，不构成医学诊断结论。</x:v>
      </x:c>
      <x:c r="H2" s="7" t="str">
        <x:v>依据《数据图.jpg》整理；仅保留展现方案一。本文档用于产品、设计、研发和数据配置对齐，不构成医学诊断结论。</x:v>
      </x:c>
    </x:row>
    <x:row r="4">
      <x:c r="A4" s="9" t="str">
        <x:v>数据概览</x:v>
      </x:c>
      <x:c r="B4" s="9" t="str"/>
      <x:c r="C4" s="9" t="str"/>
      <x:c r="D4" s="9" t="str"/>
      <x:c r="E4" s="9" t="str"/>
      <x:c r="F4" s="9" t="str"/>
      <x:c r="G4" s="9" t="str"/>
      <x:c r="H4" s="9" t="str"/>
    </x:row>
    <x:row r="5">
      <x:c r="A5" s="12" t="str">
        <x:v>一级模块</x:v>
      </x:c>
      <x:c r="B5" s="21" t="n">
        <x:v>8</x:v>
      </x:c>
      <x:c r="D5" s="12" t="str">
        <x:v>配置记录总数</x:v>
      </x:c>
      <x:c r="E5" s="27" t="n">
        <x:v>46</x:v>
      </x:c>
    </x:row>
    <x:row r="6">
      <x:c r="A6" s="14" t="str">
        <x:v>评分细项</x:v>
      </x:c>
      <x:c r="B6" s="22" t="n">
        <x:v>34</x:v>
      </x:c>
      <x:c r="D6" s="14" t="str">
        <x:v>活力值范围</x:v>
      </x:c>
      <x:c r="E6" s="28" t="str">
        <x:v>60–100</x:v>
      </x:c>
    </x:row>
    <x:row r="7">
      <x:c r="A7" s="16" t="str">
        <x:v>直接展示项</x:v>
      </x:c>
      <x:c r="B7" s="23" t="n">
        <x:v>4</x:v>
      </x:c>
      <x:c r="D7" s="16" t="str">
        <x:v>权重校验</x:v>
      </x:c>
      <x:c r="E7" s="29" t="str">
        <x:v>8/8模块通过</x:v>
      </x:c>
    </x:row>
    <x:row r="9">
      <x:c r="A9" s="9" t="str">
        <x:v>方案一整理结论</x:v>
      </x:c>
      <x:c r="B9" s="9" t="str">
        <x:v>方案一整理结论</x:v>
      </x:c>
      <x:c r="C9" s="9" t="str">
        <x:v>方案一整理结论</x:v>
      </x:c>
      <x:c r="D9" s="9" t="str">
        <x:v>方案一整理结论</x:v>
      </x:c>
      <x:c r="E9" s="9" t="str">
        <x:v>方案一整理结论</x:v>
      </x:c>
      <x:c r="F9" s="9" t="str">
        <x:v>方案一整理结论</x:v>
      </x:c>
      <x:c r="G9" s="9" t="str">
        <x:v>方案一整理结论</x:v>
      </x:c>
      <x:c r="H9" s="9" t="str">
        <x:v>方案一整理结论</x:v>
      </x:c>
    </x:row>
    <x:row r="10" ht="30" customHeight="1">
      <x:c r="A10" s="33" t="str">
        <x:v>1. 评分型指标：调用当前系统得分，以活力值形式展示；展示范围限定为60–100，最高100、最低60。</x:v>
      </x:c>
      <x:c r="B10" s="33"/>
      <x:c r="C10" s="33"/>
      <x:c r="D10" s="33"/>
      <x:c r="E10" s="33"/>
      <x:c r="F10" s="33"/>
      <x:c r="G10" s="33"/>
      <x:c r="H10" s="33"/>
    </x:row>
    <x:row r="11" ht="30" customHeight="1">
      <x:c r="A11" s="33" t="str">
        <x:v>2. 34个评分细项均配置模块内权重；每个模块的细项权重合计均为100%。</x:v>
      </x:c>
      <x:c r="B11" s="33"/>
      <x:c r="C11" s="33"/>
      <x:c r="D11" s="33"/>
      <x:c r="E11" s="33"/>
      <x:c r="F11" s="33"/>
      <x:c r="G11" s="33"/>
      <x:c r="H11" s="33"/>
    </x:row>
    <x:row r="12" ht="30" customHeight="1">
      <x:c r="A12" s="33" t="str">
        <x:v>3. 微循环、心率、心电图、血氧饱和度为直接展示型指标，保留采集模块结果，不参与模块内加权。</x:v>
      </x:c>
      <x:c r="B12" s="33"/>
      <x:c r="C12" s="33"/>
      <x:c r="D12" s="33"/>
      <x:c r="E12" s="33"/>
      <x:c r="F12" s="33"/>
      <x:c r="G12" s="33"/>
      <x:c r="H12" s="33"/>
    </x:row>
    <x:row r="13" ht="30" customHeight="1">
      <x:c r="A13" s="33" t="str">
        <x:v>4. 女性功能与男性功能是并列模块；产品实现时建议依据用户性别/适用条件控制展示，不建议同时作为同一用户的必显模块。</x:v>
      </x:c>
      <x:c r="B13" s="33"/>
      <x:c r="C13" s="33"/>
      <x:c r="D13" s="33"/>
      <x:c r="E13" s="33"/>
      <x:c r="F13" s="33"/>
      <x:c r="G13" s="33"/>
      <x:c r="H13" s="33"/>
    </x:row>
    <x:row r="14" ht="30" customHeight="1">
      <x:c r="A14" s="33" t="str">
        <x:v>5. 评分映射的工程实现建议使用上下限截断；若源系统已保证60–100，则活力值等于源系统得分。</x:v>
      </x:c>
      <x:c r="B14" s="33"/>
      <x:c r="C14" s="33"/>
      <x:c r="D14" s="33"/>
      <x:c r="E14" s="33"/>
      <x:c r="F14" s="33"/>
      <x:c r="G14" s="33"/>
      <x:c r="H14" s="33"/>
    </x:row>
    <x:row r="16">
      <x:c r="A16" s="9" t="str">
        <x:v>工作表导航</x:v>
      </x:c>
      <x:c r="B16" s="9" t="str">
        <x:v>工作表导航</x:v>
      </x:c>
      <x:c r="C16" s="9" t="str">
        <x:v>工作表导航</x:v>
      </x:c>
      <x:c r="D16" s="9" t="str">
        <x:v>工作表导航</x:v>
      </x:c>
      <x:c r="E16" s="9" t="str">
        <x:v>工作表导航</x:v>
      </x:c>
      <x:c r="F16" s="9" t="str">
        <x:v>工作表导航</x:v>
      </x:c>
      <x:c r="G16" s="9" t="str">
        <x:v>工作表导航</x:v>
      </x:c>
      <x:c r="H16" s="9" t="str">
        <x:v>工作表导航</x:v>
      </x:c>
    </x:row>
    <x:row r="17">
      <x:c r="A17" s="39" t="str">
        <x:v>工作表</x:v>
      </x:c>
      <x:c r="B17" s="39" t="str">
        <x:v>用途</x:v>
      </x:c>
      <x:c r="C17" s="39" t="str">
        <x:v>建议使用者</x:v>
      </x:c>
    </x:row>
    <x:row r="18">
      <x:c r="A18" s="45" t="str">
        <x:v>指标配置</x:v>
      </x:c>
      <x:c r="B18" s="45" t="str">
        <x:v>46条完整结构化配置记录</x:v>
      </x:c>
      <x:c r="C18" s="45" t="str">
        <x:v>产品 / 研发 / 数据</x:v>
      </x:c>
    </x:row>
    <x:row r="19">
      <x:c r="A19" s="46" t="str">
        <x:v>模块汇总</x:v>
      </x:c>
      <x:c r="B19" s="46" t="str">
        <x:v>模块细项数量、直接展示项与权重校验</x:v>
      </x:c>
      <x:c r="C19" s="46" t="str">
        <x:v>产品 / 测试</x:v>
      </x:c>
    </x:row>
    <x:row r="20">
      <x:c r="A20" s="46" t="str">
        <x:v>分值映射</x:v>
      </x:c>
      <x:c r="B20" s="46" t="str">
        <x:v>方案一显示规则与示例</x:v>
      </x:c>
      <x:c r="C20" s="46" t="str">
        <x:v>研发 / 测试</x:v>
      </x:c>
    </x:row>
  </x:sheetData>
  <x:mergeCells>
    <x:mergeCell ref="A1:H1"/>
    <x:mergeCell ref="A2:H2"/>
    <x:mergeCell ref="A4:H4"/>
    <x:mergeCell ref="A9:H9"/>
    <x:mergeCell ref="A10:H10"/>
    <x:mergeCell ref="A11:H11"/>
    <x:mergeCell ref="A12:H12"/>
    <x:mergeCell ref="A13:H13"/>
    <x:mergeCell ref="A14:H14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21" hidden="0" customWidth="1"/>
    <x:col min="6" max="6" width="20" hidden="0" customWidth="1"/>
    <x:col min="7" max="7" width="13" hidden="0" customWidth="1"/>
    <x:col min="8" max="8" width="12" hidden="0" customWidth="1"/>
    <x:col min="9" max="9" width="18" hidden="0" customWidth="1"/>
    <x:col min="10" max="10" width="18" hidden="0" customWidth="1"/>
    <x:col min="11" max="11" width="18" hidden="0" customWidth="1"/>
    <x:col min="12" max="12" width="17" hidden="0" customWidth="1"/>
    <x:col min="13" max="13" width="24" hidden="0" customWidth="1"/>
  </x:cols>
  <x:sheetData>
    <x:row r="1" ht="34" customHeight="1">
      <x:c r="A1" s="3" t="str">
        <x:v>指标配置清单</x:v>
      </x:c>
      <x:c r="B1" s="3" t="str">
        <x:v>指标配置清单</x:v>
      </x:c>
      <x:c r="C1" s="3" t="str">
        <x:v>指标配置清单</x:v>
      </x:c>
      <x:c r="D1" s="3" t="str">
        <x:v>指标配置清单</x:v>
      </x:c>
      <x:c r="E1" s="3" t="str">
        <x:v>指标配置清单</x:v>
      </x:c>
      <x:c r="F1" s="3" t="str">
        <x:v>指标配置清单</x:v>
      </x:c>
      <x:c r="G1" s="3" t="str">
        <x:v>指标配置清单</x:v>
      </x:c>
      <x:c r="H1" s="3" t="str">
        <x:v>指标配置清单</x:v>
      </x:c>
      <x:c r="I1" s="3" t="str">
        <x:v>指标配置清单</x:v>
      </x:c>
      <x:c r="J1" s="3" t="str">
        <x:v>指标配置清单</x:v>
      </x:c>
      <x:c r="K1" s="3" t="str">
        <x:v>指标配置清单</x:v>
      </x:c>
      <x:c r="L1" s="3" t="str">
        <x:v>指标配置清单</x:v>
      </x:c>
      <x:c r="M1" s="3" t="str">
        <x:v>指标配置清单</x:v>
      </x:c>
    </x:row>
    <x:row r="2" ht="30" customHeight="1">
      <x:c r="A2" s="7" t="str">
        <x:v>主数据表：保留方案一需要的模块、层级、指标角色、权重、输出形式与来源。权重为空表示原图为“/”。</x:v>
      </x:c>
      <x:c r="B2" s="7" t="str">
        <x:v>主数据表：保留方案一需要的模块、层级、指标角色、权重、输出形式与来源。权重为空表示原图为“/”。</x:v>
      </x:c>
      <x:c r="C2" s="7" t="str">
        <x:v>主数据表：保留方案一需要的模块、层级、指标角色、权重、输出形式与来源。权重为空表示原图为“/”。</x:v>
      </x:c>
      <x:c r="D2" s="7" t="str">
        <x:v>主数据表：保留方案一需要的模块、层级、指标角色、权重、输出形式与来源。权重为空表示原图为“/”。</x:v>
      </x:c>
      <x:c r="E2" s="7" t="str">
        <x:v>主数据表：保留方案一需要的模块、层级、指标角色、权重、输出形式与来源。权重为空表示原图为“/”。</x:v>
      </x:c>
      <x:c r="F2" s="7" t="str">
        <x:v>主数据表：保留方案一需要的模块、层级、指标角色、权重、输出形式与来源。权重为空表示原图为“/”。</x:v>
      </x:c>
      <x:c r="G2" s="7" t="str">
        <x:v>主数据表：保留方案一需要的模块、层级、指标角色、权重、输出形式与来源。权重为空表示原图为“/”。</x:v>
      </x:c>
      <x:c r="H2" s="7" t="str">
        <x:v>主数据表：保留方案一需要的模块、层级、指标角色、权重、输出形式与来源。权重为空表示原图为“/”。</x:v>
      </x:c>
      <x:c r="I2" s="7" t="str">
        <x:v>主数据表：保留方案一需要的模块、层级、指标角色、权重、输出形式与来源。权重为空表示原图为“/”。</x:v>
      </x:c>
      <x:c r="J2" s="7" t="str">
        <x:v>主数据表：保留方案一需要的模块、层级、指标角色、权重、输出形式与来源。权重为空表示原图为“/”。</x:v>
      </x:c>
      <x:c r="K2" s="7" t="str">
        <x:v>主数据表：保留方案一需要的模块、层级、指标角色、权重、输出形式与来源。权重为空表示原图为“/”。</x:v>
      </x:c>
      <x:c r="L2" s="7" t="str">
        <x:v>主数据表：保留方案一需要的模块、层级、指标角色、权重、输出形式与来源。权重为空表示原图为“/”。</x:v>
      </x:c>
      <x:c r="M2" s="7" t="str">
        <x:v>主数据表：保留方案一需要的模块、层级、指标角色、权重、输出形式与来源。权重为空表示原图为“/”。</x:v>
      </x:c>
    </x:row>
    <x:row r="4">
      <x:c r="A4" s="48" t="str">
        <x:v>一级模块：8</x:v>
      </x:c>
      <x:c r="B4" s="48" t="str"/>
      <x:c r="C4" s="48" t="str">
        <x:v>评分细项：34</x:v>
      </x:c>
      <x:c r="D4" s="48" t="str"/>
      <x:c r="E4" s="48" t="str">
        <x:v>直接展示项：4</x:v>
      </x:c>
      <x:c r="F4" s="48" t="str"/>
      <x:c r="G4" s="48" t="str">
        <x:v>配置记录：46</x:v>
      </x:c>
      <x:c r="H4" s="48" t="str"/>
      <x:c r="I4" s="48" t="str"/>
      <x:c r="J4" s="48" t="str"/>
      <x:c r="K4" s="48" t="str"/>
      <x:c r="L4" s="48" t="str"/>
      <x:c r="M4" s="48" t="str"/>
    </x:row>
    <x:row r="6" ht="38" customHeight="1">
      <x:c r="A6" s="39" t="str">
        <x:v>序号</x:v>
      </x:c>
      <x:c r="B6" s="39" t="str">
        <x:v>模块编号</x:v>
      </x:c>
      <x:c r="C6" s="39" t="str">
        <x:v>展现模块</x:v>
      </x:c>
      <x:c r="D6" s="39" t="str">
        <x:v>记录层级</x:v>
      </x:c>
      <x:c r="E6" s="39" t="str">
        <x:v>页面展现器官组织指标</x:v>
      </x:c>
      <x:c r="F6" s="39" t="str">
        <x:v>详细指标</x:v>
      </x:c>
      <x:c r="G6" s="39" t="str">
        <x:v>指标角色</x:v>
      </x:c>
      <x:c r="H6" s="39" t="str">
        <x:v>计算权重</x:v>
      </x:c>
      <x:c r="I6" s="39" t="str">
        <x:v>方案一展现方式</x:v>
      </x:c>
      <x:c r="J6" s="39" t="str">
        <x:v>输出范围/格式</x:v>
      </x:c>
      <x:c r="K6" s="39" t="str">
        <x:v>数据来源</x:v>
      </x:c>
      <x:c r="L6" s="39" t="str">
        <x:v>是否纳入模块加权</x:v>
      </x:c>
      <x:c r="M6" s="39" t="str">
        <x:v>实现备注</x:v>
      </x:c>
    </x:row>
    <x:row r="7">
      <x:c r="A7" s="58" t="n">
        <x:v>1</x:v>
      </x:c>
      <x:c r="B7" s="58" t="n">
        <x:v>1</x:v>
      </x:c>
      <x:c r="C7" s="58" t="str">
        <x:v>模块一</x:v>
      </x:c>
      <x:c r="D7" s="58" t="str">
        <x:v>模块指标</x:v>
      </x:c>
      <x:c r="E7" s="59" t="str">
        <x:v>心血管</x:v>
      </x:c>
      <x:c r="F7" s="59" t="str"/>
      <x:c r="G7" s="58" t="str">
        <x:v>评分型</x:v>
      </x:c>
      <x:c r="H7" s="60" t="n">
        <x:v>1</x:v>
      </x:c>
      <x:c r="I7" s="58" t="str">
        <x:v>按活力值展现</x:v>
      </x:c>
      <x:c r="J7" s="58" t="str">
        <x:v>60–100活力值</x:v>
      </x:c>
      <x:c r="K7" s="58" t="str">
        <x:v>当前系统得分</x:v>
      </x:c>
      <x:c r="L7" s="58" t="str">
        <x:v>模块结果</x:v>
      </x:c>
      <x:c r="M7" s="59" t="str">
        <x:v>模块指标权重为100%</x:v>
      </x:c>
    </x:row>
    <x:row r="8">
      <x:c r="A8" s="52" t="n">
        <x:v>2</x:v>
      </x:c>
      <x:c r="B8" s="52" t="n">
        <x:v>1</x:v>
      </x:c>
      <x:c r="C8" s="52" t="str">
        <x:v>模块一</x:v>
      </x:c>
      <x:c r="D8" s="52" t="str">
        <x:v>详细指标</x:v>
      </x:c>
      <x:c r="E8" s="46" t="str">
        <x:v>心血管</x:v>
      </x:c>
      <x:c r="F8" s="46" t="str">
        <x:v>血脂</x:v>
      </x:c>
      <x:c r="G8" s="52" t="str">
        <x:v>评分型</x:v>
      </x:c>
      <x:c r="H8" s="54" t="n">
        <x:v>0.3</x:v>
      </x:c>
      <x:c r="I8" s="52" t="str">
        <x:v>按活力值展现</x:v>
      </x:c>
      <x:c r="J8" s="52" t="str">
        <x:v>60–100活力值</x:v>
      </x:c>
      <x:c r="K8" s="52" t="str">
        <x:v>当前系统得分</x:v>
      </x:c>
      <x:c r="L8" s="52" t="str">
        <x:v>是</x:v>
      </x:c>
      <x:c r="M8" s="46" t="str">
        <x:v>细项权重用于模块内配置</x:v>
      </x:c>
    </x:row>
    <x:row r="9">
      <x:c r="A9" s="52" t="n">
        <x:v>3</x:v>
      </x:c>
      <x:c r="B9" s="52" t="n">
        <x:v>1</x:v>
      </x:c>
      <x:c r="C9" s="52" t="str">
        <x:v>模块一</x:v>
      </x:c>
      <x:c r="D9" s="52" t="str">
        <x:v>详细指标</x:v>
      </x:c>
      <x:c r="E9" s="46" t="str">
        <x:v>心血管</x:v>
      </x:c>
      <x:c r="F9" s="46" t="str">
        <x:v>血管弹性</x:v>
      </x:c>
      <x:c r="G9" s="52" t="str">
        <x:v>评分型</x:v>
      </x:c>
      <x:c r="H9" s="54" t="n">
        <x:v>0.4</x:v>
      </x:c>
      <x:c r="I9" s="52" t="str">
        <x:v>按活力值展现</x:v>
      </x:c>
      <x:c r="J9" s="52" t="str">
        <x:v>60–100活力值</x:v>
      </x:c>
      <x:c r="K9" s="52" t="str">
        <x:v>当前系统得分</x:v>
      </x:c>
      <x:c r="L9" s="52" t="str">
        <x:v>是</x:v>
      </x:c>
      <x:c r="M9" s="46" t="str">
        <x:v>细项权重用于模块内配置</x:v>
      </x:c>
    </x:row>
    <x:row r="10">
      <x:c r="A10" s="52" t="n">
        <x:v>4</x:v>
      </x:c>
      <x:c r="B10" s="52" t="n">
        <x:v>1</x:v>
      </x:c>
      <x:c r="C10" s="52" t="str">
        <x:v>模块一</x:v>
      </x:c>
      <x:c r="D10" s="52" t="str">
        <x:v>详细指标</x:v>
      </x:c>
      <x:c r="E10" s="46" t="str">
        <x:v>心血管</x:v>
      </x:c>
      <x:c r="F10" s="46" t="str">
        <x:v>心肌耗氧量</x:v>
      </x:c>
      <x:c r="G10" s="52" t="str">
        <x:v>评分型</x:v>
      </x:c>
      <x:c r="H10" s="54" t="n">
        <x:v>0.3</x:v>
      </x:c>
      <x:c r="I10" s="52" t="str">
        <x:v>按活力值展现</x:v>
      </x:c>
      <x:c r="J10" s="52" t="str">
        <x:v>60–100活力值</x:v>
      </x:c>
      <x:c r="K10" s="52" t="str">
        <x:v>当前系统得分</x:v>
      </x:c>
      <x:c r="L10" s="52" t="str">
        <x:v>是</x:v>
      </x:c>
      <x:c r="M10" s="46" t="str">
        <x:v>细项权重用于模块内配置</x:v>
      </x:c>
    </x:row>
    <x:row r="11">
      <x:c r="A11" s="61" t="n">
        <x:v>5</x:v>
      </x:c>
      <x:c r="B11" s="61" t="n">
        <x:v>1</x:v>
      </x:c>
      <x:c r="C11" s="61" t="str">
        <x:v>模块一</x:v>
      </x:c>
      <x:c r="D11" s="61" t="str">
        <x:v>详细指标</x:v>
      </x:c>
      <x:c r="E11" s="62" t="str">
        <x:v>心血管</x:v>
      </x:c>
      <x:c r="F11" s="62" t="str">
        <x:v>微循环</x:v>
      </x:c>
      <x:c r="G11" s="61" t="str">
        <x:v>直接展示型</x:v>
      </x:c>
      <x:c r="H11" s="63"/>
      <x:c r="I11" s="61" t="str">
        <x:v>直接展现采集结果</x:v>
      </x:c>
      <x:c r="J11" s="61" t="str">
        <x:v>原始采集结果</x:v>
      </x:c>
      <x:c r="K11" s="61" t="str">
        <x:v>心电采集模块</x:v>
      </x:c>
      <x:c r="L11" s="61" t="str">
        <x:v>否</x:v>
      </x:c>
      <x:c r="M11" s="62" t="str">
        <x:v>原图权重标记为“/”</x:v>
      </x:c>
    </x:row>
    <x:row r="12">
      <x:c r="A12" s="61" t="n">
        <x:v>6</x:v>
      </x:c>
      <x:c r="B12" s="61" t="n">
        <x:v>1</x:v>
      </x:c>
      <x:c r="C12" s="61" t="str">
        <x:v>模块一</x:v>
      </x:c>
      <x:c r="D12" s="61" t="str">
        <x:v>详细指标</x:v>
      </x:c>
      <x:c r="E12" s="62" t="str">
        <x:v>心血管</x:v>
      </x:c>
      <x:c r="F12" s="62" t="str">
        <x:v>心率</x:v>
      </x:c>
      <x:c r="G12" s="61" t="str">
        <x:v>直接展示型</x:v>
      </x:c>
      <x:c r="H12" s="63"/>
      <x:c r="I12" s="61" t="str">
        <x:v>直接展现采集结果</x:v>
      </x:c>
      <x:c r="J12" s="61" t="str">
        <x:v>原始采集结果</x:v>
      </x:c>
      <x:c r="K12" s="61" t="str">
        <x:v>心电采集模块</x:v>
      </x:c>
      <x:c r="L12" s="61" t="str">
        <x:v>否</x:v>
      </x:c>
      <x:c r="M12" s="62" t="str">
        <x:v>原图权重标记为“/”</x:v>
      </x:c>
    </x:row>
    <x:row r="13">
      <x:c r="A13" s="61" t="n">
        <x:v>7</x:v>
      </x:c>
      <x:c r="B13" s="61" t="n">
        <x:v>1</x:v>
      </x:c>
      <x:c r="C13" s="61" t="str">
        <x:v>模块一</x:v>
      </x:c>
      <x:c r="D13" s="61" t="str">
        <x:v>详细指标</x:v>
      </x:c>
      <x:c r="E13" s="62" t="str">
        <x:v>心血管</x:v>
      </x:c>
      <x:c r="F13" s="62" t="str">
        <x:v>心电图</x:v>
      </x:c>
      <x:c r="G13" s="61" t="str">
        <x:v>直接展示型</x:v>
      </x:c>
      <x:c r="H13" s="63"/>
      <x:c r="I13" s="61" t="str">
        <x:v>直接展现采集结果</x:v>
      </x:c>
      <x:c r="J13" s="61" t="str">
        <x:v>原始采集结果</x:v>
      </x:c>
      <x:c r="K13" s="61" t="str">
        <x:v>心电采集模块</x:v>
      </x:c>
      <x:c r="L13" s="61" t="str">
        <x:v>否</x:v>
      </x:c>
      <x:c r="M13" s="62" t="str">
        <x:v>原图权重标记为“/”</x:v>
      </x:c>
    </x:row>
    <x:row r="14">
      <x:c r="A14" s="67" t="n">
        <x:v>8</x:v>
      </x:c>
      <x:c r="B14" s="67" t="n">
        <x:v>2</x:v>
      </x:c>
      <x:c r="C14" s="67" t="str">
        <x:v>模块二</x:v>
      </x:c>
      <x:c r="D14" s="67" t="str">
        <x:v>模块指标</x:v>
      </x:c>
      <x:c r="E14" s="68" t="str">
        <x:v>肺功能</x:v>
      </x:c>
      <x:c r="F14" s="68" t="str"/>
      <x:c r="G14" s="67" t="str">
        <x:v>评分型</x:v>
      </x:c>
      <x:c r="H14" s="69" t="n">
        <x:v>1</x:v>
      </x:c>
      <x:c r="I14" s="67" t="str">
        <x:v>按活力值展现</x:v>
      </x:c>
      <x:c r="J14" s="67" t="str">
        <x:v>60–100活力值</x:v>
      </x:c>
      <x:c r="K14" s="67" t="str">
        <x:v>当前系统得分</x:v>
      </x:c>
      <x:c r="L14" s="67" t="str">
        <x:v>模块结果</x:v>
      </x:c>
      <x:c r="M14" s="68" t="str">
        <x:v>模块指标权重为100%</x:v>
      </x:c>
    </x:row>
    <x:row r="15">
      <x:c r="A15" s="61" t="n">
        <x:v>9</x:v>
      </x:c>
      <x:c r="B15" s="61" t="n">
        <x:v>2</x:v>
      </x:c>
      <x:c r="C15" s="61" t="str">
        <x:v>模块二</x:v>
      </x:c>
      <x:c r="D15" s="61" t="str">
        <x:v>详细指标</x:v>
      </x:c>
      <x:c r="E15" s="62" t="str">
        <x:v>肺功能</x:v>
      </x:c>
      <x:c r="F15" s="62" t="str">
        <x:v>血氧饱和度</x:v>
      </x:c>
      <x:c r="G15" s="61" t="str">
        <x:v>直接展示型</x:v>
      </x:c>
      <x:c r="H15" s="63"/>
      <x:c r="I15" s="61" t="str">
        <x:v>直接展现采集结果</x:v>
      </x:c>
      <x:c r="J15" s="61" t="str">
        <x:v>原始采集结果</x:v>
      </x:c>
      <x:c r="K15" s="61" t="str">
        <x:v>血样采集模块</x:v>
      </x:c>
      <x:c r="L15" s="61" t="str">
        <x:v>否</x:v>
      </x:c>
      <x:c r="M15" s="62" t="str">
        <x:v>原图权重标记为“/”</x:v>
      </x:c>
    </x:row>
    <x:row r="16">
      <x:c r="A16" s="52" t="n">
        <x:v>10</x:v>
      </x:c>
      <x:c r="B16" s="52" t="n">
        <x:v>2</x:v>
      </x:c>
      <x:c r="C16" s="52" t="str">
        <x:v>模块二</x:v>
      </x:c>
      <x:c r="D16" s="52" t="str">
        <x:v>详细指标</x:v>
      </x:c>
      <x:c r="E16" s="46" t="str">
        <x:v>肺功能</x:v>
      </x:c>
      <x:c r="F16" s="46" t="str">
        <x:v>呼吸睡眠</x:v>
      </x:c>
      <x:c r="G16" s="52" t="str">
        <x:v>评分型</x:v>
      </x:c>
      <x:c r="H16" s="54" t="n">
        <x:v>0.3</x:v>
      </x:c>
      <x:c r="I16" s="52" t="str">
        <x:v>按活力值展现</x:v>
      </x:c>
      <x:c r="J16" s="52" t="str">
        <x:v>60–100活力值</x:v>
      </x:c>
      <x:c r="K16" s="52" t="str">
        <x:v>当前系统得分</x:v>
      </x:c>
      <x:c r="L16" s="52" t="str">
        <x:v>是</x:v>
      </x:c>
      <x:c r="M16" s="46" t="str">
        <x:v>细项权重用于模块内配置</x:v>
      </x:c>
    </x:row>
    <x:row r="17">
      <x:c r="A17" s="52" t="n">
        <x:v>11</x:v>
      </x:c>
      <x:c r="B17" s="52" t="n">
        <x:v>2</x:v>
      </x:c>
      <x:c r="C17" s="52" t="str">
        <x:v>模块二</x:v>
      </x:c>
      <x:c r="D17" s="52" t="str">
        <x:v>详细指标</x:v>
      </x:c>
      <x:c r="E17" s="46" t="str">
        <x:v>肺功能</x:v>
      </x:c>
      <x:c r="F17" s="46" t="str">
        <x:v>肺活量VC</x:v>
      </x:c>
      <x:c r="G17" s="52" t="str">
        <x:v>评分型</x:v>
      </x:c>
      <x:c r="H17" s="54" t="n">
        <x:v>0.4</x:v>
      </x:c>
      <x:c r="I17" s="52" t="str">
        <x:v>按活力值展现</x:v>
      </x:c>
      <x:c r="J17" s="52" t="str">
        <x:v>60–100活力值</x:v>
      </x:c>
      <x:c r="K17" s="52" t="str">
        <x:v>当前系统得分</x:v>
      </x:c>
      <x:c r="L17" s="52" t="str">
        <x:v>是</x:v>
      </x:c>
      <x:c r="M17" s="46" t="str">
        <x:v>细项权重用于模块内配置</x:v>
      </x:c>
    </x:row>
    <x:row r="18">
      <x:c r="A18" s="52" t="n">
        <x:v>12</x:v>
      </x:c>
      <x:c r="B18" s="52" t="n">
        <x:v>2</x:v>
      </x:c>
      <x:c r="C18" s="52" t="str">
        <x:v>模块二</x:v>
      </x:c>
      <x:c r="D18" s="52" t="str">
        <x:v>详细指标</x:v>
      </x:c>
      <x:c r="E18" s="46" t="str">
        <x:v>肺功能</x:v>
      </x:c>
      <x:c r="F18" s="46" t="str">
        <x:v>气道阻力RAM</x:v>
      </x:c>
      <x:c r="G18" s="52" t="str">
        <x:v>评分型</x:v>
      </x:c>
      <x:c r="H18" s="54" t="n">
        <x:v>0.3</x:v>
      </x:c>
      <x:c r="I18" s="52" t="str">
        <x:v>按活力值展现</x:v>
      </x:c>
      <x:c r="J18" s="52" t="str">
        <x:v>60–100活力值</x:v>
      </x:c>
      <x:c r="K18" s="52" t="str">
        <x:v>当前系统得分</x:v>
      </x:c>
      <x:c r="L18" s="52" t="str">
        <x:v>是</x:v>
      </x:c>
      <x:c r="M18" s="46" t="str">
        <x:v>细项权重用于模块内配置</x:v>
      </x:c>
    </x:row>
    <x:row r="19">
      <x:c r="A19" s="67" t="n">
        <x:v>13</x:v>
      </x:c>
      <x:c r="B19" s="67" t="n">
        <x:v>3</x:v>
      </x:c>
      <x:c r="C19" s="67" t="str">
        <x:v>模块三</x:v>
      </x:c>
      <x:c r="D19" s="67" t="str">
        <x:v>模块指标</x:v>
      </x:c>
      <x:c r="E19" s="68" t="str">
        <x:v>消化系统</x:v>
      </x:c>
      <x:c r="F19" s="68" t="str"/>
      <x:c r="G19" s="67" t="str">
        <x:v>评分型</x:v>
      </x:c>
      <x:c r="H19" s="69" t="n">
        <x:v>1</x:v>
      </x:c>
      <x:c r="I19" s="67" t="str">
        <x:v>按活力值展现</x:v>
      </x:c>
      <x:c r="J19" s="67" t="str">
        <x:v>60–100活力值</x:v>
      </x:c>
      <x:c r="K19" s="67" t="str">
        <x:v>当前系统得分</x:v>
      </x:c>
      <x:c r="L19" s="67" t="str">
        <x:v>模块结果</x:v>
      </x:c>
      <x:c r="M19" s="68" t="str">
        <x:v>模块指标权重为100%</x:v>
      </x:c>
    </x:row>
    <x:row r="20">
      <x:c r="A20" s="52" t="n">
        <x:v>14</x:v>
      </x:c>
      <x:c r="B20" s="52" t="n">
        <x:v>3</x:v>
      </x:c>
      <x:c r="C20" s="52" t="str">
        <x:v>模块三</x:v>
      </x:c>
      <x:c r="D20" s="52" t="str">
        <x:v>详细指标</x:v>
      </x:c>
      <x:c r="E20" s="46" t="str">
        <x:v>消化系统</x:v>
      </x:c>
      <x:c r="F20" s="46" t="str">
        <x:v>肝内脂肪含量</x:v>
      </x:c>
      <x:c r="G20" s="52" t="str">
        <x:v>评分型</x:v>
      </x:c>
      <x:c r="H20" s="54" t="n">
        <x:v>0.2</x:v>
      </x:c>
      <x:c r="I20" s="52" t="str">
        <x:v>按活力值展现</x:v>
      </x:c>
      <x:c r="J20" s="52" t="str">
        <x:v>60–100活力值</x:v>
      </x:c>
      <x:c r="K20" s="52" t="str">
        <x:v>当前系统得分</x:v>
      </x:c>
      <x:c r="L20" s="52" t="str">
        <x:v>是</x:v>
      </x:c>
      <x:c r="M20" s="46" t="str">
        <x:v>细项权重用于模块内配置</x:v>
      </x:c>
    </x:row>
    <x:row r="21">
      <x:c r="A21" s="52" t="n">
        <x:v>15</x:v>
      </x:c>
      <x:c r="B21" s="52" t="n">
        <x:v>3</x:v>
      </x:c>
      <x:c r="C21" s="52" t="str">
        <x:v>模块三</x:v>
      </x:c>
      <x:c r="D21" s="52" t="str">
        <x:v>详细指标</x:v>
      </x:c>
      <x:c r="E21" s="46" t="str">
        <x:v>消化系统</x:v>
      </x:c>
      <x:c r="F21" s="46" t="str">
        <x:v>胃蠕动功能</x:v>
      </x:c>
      <x:c r="G21" s="52" t="str">
        <x:v>评分型</x:v>
      </x:c>
      <x:c r="H21" s="54" t="n">
        <x:v>0.2</x:v>
      </x:c>
      <x:c r="I21" s="52" t="str">
        <x:v>按活力值展现</x:v>
      </x:c>
      <x:c r="J21" s="52" t="str">
        <x:v>60–100活力值</x:v>
      </x:c>
      <x:c r="K21" s="52" t="str">
        <x:v>当前系统得分</x:v>
      </x:c>
      <x:c r="L21" s="52" t="str">
        <x:v>是</x:v>
      </x:c>
      <x:c r="M21" s="46" t="str">
        <x:v>细项权重用于模块内配置</x:v>
      </x:c>
    </x:row>
    <x:row r="22">
      <x:c r="A22" s="52" t="n">
        <x:v>16</x:v>
      </x:c>
      <x:c r="B22" s="52" t="n">
        <x:v>3</x:v>
      </x:c>
      <x:c r="C22" s="52" t="str">
        <x:v>模块三</x:v>
      </x:c>
      <x:c r="D22" s="52" t="str">
        <x:v>详细指标</x:v>
      </x:c>
      <x:c r="E22" s="46" t="str">
        <x:v>消化系统</x:v>
      </x:c>
      <x:c r="F22" s="46" t="str">
        <x:v>小肠吸收功能</x:v>
      </x:c>
      <x:c r="G22" s="52" t="str">
        <x:v>评分型</x:v>
      </x:c>
      <x:c r="H22" s="54" t="n">
        <x:v>0.2</x:v>
      </x:c>
      <x:c r="I22" s="52" t="str">
        <x:v>按活力值展现</x:v>
      </x:c>
      <x:c r="J22" s="52" t="str">
        <x:v>60–100活力值</x:v>
      </x:c>
      <x:c r="K22" s="52" t="str">
        <x:v>当前系统得分</x:v>
      </x:c>
      <x:c r="L22" s="52" t="str">
        <x:v>是</x:v>
      </x:c>
      <x:c r="M22" s="46" t="str">
        <x:v>细项权重用于模块内配置</x:v>
      </x:c>
    </x:row>
    <x:row r="23">
      <x:c r="A23" s="52" t="n">
        <x:v>17</x:v>
      </x:c>
      <x:c r="B23" s="52" t="n">
        <x:v>3</x:v>
      </x:c>
      <x:c r="C23" s="52" t="str">
        <x:v>模块三</x:v>
      </x:c>
      <x:c r="D23" s="52" t="str">
        <x:v>详细指标</x:v>
      </x:c>
      <x:c r="E23" s="46" t="str">
        <x:v>消化系统</x:v>
      </x:c>
      <x:c r="F23" s="46" t="str">
        <x:v>小肠蠕动功能</x:v>
      </x:c>
      <x:c r="G23" s="52" t="str">
        <x:v>评分型</x:v>
      </x:c>
      <x:c r="H23" s="54" t="n">
        <x:v>0.2</x:v>
      </x:c>
      <x:c r="I23" s="52" t="str">
        <x:v>按活力值展现</x:v>
      </x:c>
      <x:c r="J23" s="52" t="str">
        <x:v>60–100活力值</x:v>
      </x:c>
      <x:c r="K23" s="52" t="str">
        <x:v>当前系统得分</x:v>
      </x:c>
      <x:c r="L23" s="52" t="str">
        <x:v>是</x:v>
      </x:c>
      <x:c r="M23" s="46" t="str">
        <x:v>细项权重用于模块内配置</x:v>
      </x:c>
    </x:row>
    <x:row r="24">
      <x:c r="A24" s="52" t="n">
        <x:v>18</x:v>
      </x:c>
      <x:c r="B24" s="52" t="n">
        <x:v>3</x:v>
      </x:c>
      <x:c r="C24" s="52" t="str">
        <x:v>模块三</x:v>
      </x:c>
      <x:c r="D24" s="52" t="str">
        <x:v>详细指标</x:v>
      </x:c>
      <x:c r="E24" s="46" t="str">
        <x:v>消化系统</x:v>
      </x:c>
      <x:c r="F24" s="46" t="str">
        <x:v>胃吸收功能</x:v>
      </x:c>
      <x:c r="G24" s="52" t="str">
        <x:v>评分型</x:v>
      </x:c>
      <x:c r="H24" s="54" t="n">
        <x:v>0.2</x:v>
      </x:c>
      <x:c r="I24" s="52" t="str">
        <x:v>按活力值展现</x:v>
      </x:c>
      <x:c r="J24" s="52" t="str">
        <x:v>60–100活力值</x:v>
      </x:c>
      <x:c r="K24" s="52" t="str">
        <x:v>当前系统得分</x:v>
      </x:c>
      <x:c r="L24" s="52" t="str">
        <x:v>是</x:v>
      </x:c>
      <x:c r="M24" s="46" t="str">
        <x:v>细项权重用于模块内配置</x:v>
      </x:c>
    </x:row>
    <x:row r="25">
      <x:c r="A25" s="67" t="n">
        <x:v>19</x:v>
      </x:c>
      <x:c r="B25" s="67" t="n">
        <x:v>4</x:v>
      </x:c>
      <x:c r="C25" s="67" t="str">
        <x:v>模块四</x:v>
      </x:c>
      <x:c r="D25" s="67" t="str">
        <x:v>模块指标</x:v>
      </x:c>
      <x:c r="E25" s="68" t="str">
        <x:v>内分泌</x:v>
      </x:c>
      <x:c r="F25" s="68" t="str"/>
      <x:c r="G25" s="67" t="str">
        <x:v>评分型</x:v>
      </x:c>
      <x:c r="H25" s="69" t="n">
        <x:v>1</x:v>
      </x:c>
      <x:c r="I25" s="67" t="str">
        <x:v>按活力值展现</x:v>
      </x:c>
      <x:c r="J25" s="67" t="str">
        <x:v>60–100活力值</x:v>
      </x:c>
      <x:c r="K25" s="67" t="str">
        <x:v>当前系统得分</x:v>
      </x:c>
      <x:c r="L25" s="67" t="str">
        <x:v>模块结果</x:v>
      </x:c>
      <x:c r="M25" s="68" t="str">
        <x:v>模块指标权重为100%</x:v>
      </x:c>
    </x:row>
    <x:row r="26">
      <x:c r="A26" s="52" t="n">
        <x:v>20</x:v>
      </x:c>
      <x:c r="B26" s="52" t="n">
        <x:v>4</x:v>
      </x:c>
      <x:c r="C26" s="52" t="str">
        <x:v>模块四</x:v>
      </x:c>
      <x:c r="D26" s="52" t="str">
        <x:v>详细指标</x:v>
      </x:c>
      <x:c r="E26" s="46" t="str">
        <x:v>内分泌</x:v>
      </x:c>
      <x:c r="F26" s="46" t="str">
        <x:v>胰岛素</x:v>
      </x:c>
      <x:c r="G26" s="52" t="str">
        <x:v>评分型</x:v>
      </x:c>
      <x:c r="H26" s="54" t="n">
        <x:v>0.25</x:v>
      </x:c>
      <x:c r="I26" s="52" t="str">
        <x:v>按活力值展现</x:v>
      </x:c>
      <x:c r="J26" s="52" t="str">
        <x:v>60–100活力值</x:v>
      </x:c>
      <x:c r="K26" s="52" t="str">
        <x:v>当前系统得分</x:v>
      </x:c>
      <x:c r="L26" s="52" t="str">
        <x:v>是</x:v>
      </x:c>
      <x:c r="M26" s="46" t="str">
        <x:v>细项权重用于模块内配置</x:v>
      </x:c>
    </x:row>
    <x:row r="27">
      <x:c r="A27" s="52" t="n">
        <x:v>21</x:v>
      </x:c>
      <x:c r="B27" s="52" t="n">
        <x:v>4</x:v>
      </x:c>
      <x:c r="C27" s="52" t="str">
        <x:v>模块四</x:v>
      </x:c>
      <x:c r="D27" s="52" t="str">
        <x:v>详细指标</x:v>
      </x:c>
      <x:c r="E27" s="46" t="str">
        <x:v>内分泌</x:v>
      </x:c>
      <x:c r="F27" s="46" t="str">
        <x:v>肾上腺分泌</x:v>
      </x:c>
      <x:c r="G27" s="52" t="str">
        <x:v>评分型</x:v>
      </x:c>
      <x:c r="H27" s="54" t="n">
        <x:v>0.25</x:v>
      </x:c>
      <x:c r="I27" s="52" t="str">
        <x:v>按活力值展现</x:v>
      </x:c>
      <x:c r="J27" s="52" t="str">
        <x:v>60–100活力值</x:v>
      </x:c>
      <x:c r="K27" s="52" t="str">
        <x:v>当前系统得分</x:v>
      </x:c>
      <x:c r="L27" s="52" t="str">
        <x:v>是</x:v>
      </x:c>
      <x:c r="M27" s="46" t="str">
        <x:v>细项权重用于模块内配置</x:v>
      </x:c>
    </x:row>
    <x:row r="28">
      <x:c r="A28" s="52" t="n">
        <x:v>22</x:v>
      </x:c>
      <x:c r="B28" s="52" t="n">
        <x:v>4</x:v>
      </x:c>
      <x:c r="C28" s="52" t="str">
        <x:v>模块四</x:v>
      </x:c>
      <x:c r="D28" s="52" t="str">
        <x:v>详细指标</x:v>
      </x:c>
      <x:c r="E28" s="46" t="str">
        <x:v>内分泌</x:v>
      </x:c>
      <x:c r="F28" s="46" t="str">
        <x:v>性腺分泌</x:v>
      </x:c>
      <x:c r="G28" s="52" t="str">
        <x:v>评分型</x:v>
      </x:c>
      <x:c r="H28" s="54" t="n">
        <x:v>0.25</x:v>
      </x:c>
      <x:c r="I28" s="52" t="str">
        <x:v>按活力值展现</x:v>
      </x:c>
      <x:c r="J28" s="52" t="str">
        <x:v>60–100活力值</x:v>
      </x:c>
      <x:c r="K28" s="52" t="str">
        <x:v>当前系统得分</x:v>
      </x:c>
      <x:c r="L28" s="52" t="str">
        <x:v>是</x:v>
      </x:c>
      <x:c r="M28" s="46" t="str">
        <x:v>细项权重用于模块内配置</x:v>
      </x:c>
    </x:row>
    <x:row r="29">
      <x:c r="A29" s="52" t="n">
        <x:v>23</x:v>
      </x:c>
      <x:c r="B29" s="52" t="n">
        <x:v>4</x:v>
      </x:c>
      <x:c r="C29" s="52" t="str">
        <x:v>模块四</x:v>
      </x:c>
      <x:c r="D29" s="52" t="str">
        <x:v>详细指标</x:v>
      </x:c>
      <x:c r="E29" s="46" t="str">
        <x:v>内分泌</x:v>
      </x:c>
      <x:c r="F29" s="46" t="str">
        <x:v>松果体分泌</x:v>
      </x:c>
      <x:c r="G29" s="52" t="str">
        <x:v>评分型</x:v>
      </x:c>
      <x:c r="H29" s="54" t="n">
        <x:v>0.25</x:v>
      </x:c>
      <x:c r="I29" s="52" t="str">
        <x:v>按活力值展现</x:v>
      </x:c>
      <x:c r="J29" s="52" t="str">
        <x:v>60–100活力值</x:v>
      </x:c>
      <x:c r="K29" s="52" t="str">
        <x:v>当前系统得分</x:v>
      </x:c>
      <x:c r="L29" s="52" t="str">
        <x:v>是</x:v>
      </x:c>
      <x:c r="M29" s="46" t="str">
        <x:v>细项权重用于模块内配置</x:v>
      </x:c>
    </x:row>
    <x:row r="30">
      <x:c r="A30" s="67" t="n">
        <x:v>24</x:v>
      </x:c>
      <x:c r="B30" s="67" t="n">
        <x:v>5</x:v>
      </x:c>
      <x:c r="C30" s="67" t="str">
        <x:v>模块五</x:v>
      </x:c>
      <x:c r="D30" s="67" t="str">
        <x:v>模块指标</x:v>
      </x:c>
      <x:c r="E30" s="68" t="str">
        <x:v>女性功能</x:v>
      </x:c>
      <x:c r="F30" s="68" t="str"/>
      <x:c r="G30" s="67" t="str">
        <x:v>评分型</x:v>
      </x:c>
      <x:c r="H30" s="69" t="n">
        <x:v>1</x:v>
      </x:c>
      <x:c r="I30" s="67" t="str">
        <x:v>按活力值展现</x:v>
      </x:c>
      <x:c r="J30" s="67" t="str">
        <x:v>60–100活力值</x:v>
      </x:c>
      <x:c r="K30" s="67" t="str">
        <x:v>当前系统得分</x:v>
      </x:c>
      <x:c r="L30" s="67" t="str">
        <x:v>模块结果</x:v>
      </x:c>
      <x:c r="M30" s="68" t="str">
        <x:v>模块指标权重为100%</x:v>
      </x:c>
    </x:row>
    <x:row r="31">
      <x:c r="A31" s="52" t="n">
        <x:v>25</x:v>
      </x:c>
      <x:c r="B31" s="52" t="n">
        <x:v>5</x:v>
      </x:c>
      <x:c r="C31" s="52" t="str">
        <x:v>模块五</x:v>
      </x:c>
      <x:c r="D31" s="52" t="str">
        <x:v>详细指标</x:v>
      </x:c>
      <x:c r="E31" s="46" t="str">
        <x:v>女性功能</x:v>
      </x:c>
      <x:c r="F31" s="46" t="str">
        <x:v>黄体酮</x:v>
      </x:c>
      <x:c r="G31" s="52" t="str">
        <x:v>评分型</x:v>
      </x:c>
      <x:c r="H31" s="54" t="n">
        <x:v>0.2</x:v>
      </x:c>
      <x:c r="I31" s="52" t="str">
        <x:v>按活力值展现</x:v>
      </x:c>
      <x:c r="J31" s="52" t="str">
        <x:v>60–100活力值</x:v>
      </x:c>
      <x:c r="K31" s="52" t="str">
        <x:v>当前系统得分</x:v>
      </x:c>
      <x:c r="L31" s="52" t="str">
        <x:v>是</x:v>
      </x:c>
      <x:c r="M31" s="46" t="str">
        <x:v>细项权重用于模块内配置</x:v>
      </x:c>
    </x:row>
    <x:row r="32">
      <x:c r="A32" s="52" t="n">
        <x:v>26</x:v>
      </x:c>
      <x:c r="B32" s="52" t="n">
        <x:v>5</x:v>
      </x:c>
      <x:c r="C32" s="52" t="str">
        <x:v>模块五</x:v>
      </x:c>
      <x:c r="D32" s="52" t="str">
        <x:v>详细指标</x:v>
      </x:c>
      <x:c r="E32" s="46" t="str">
        <x:v>女性功能</x:v>
      </x:c>
      <x:c r="F32" s="46" t="str">
        <x:v>内分泌失调指数</x:v>
      </x:c>
      <x:c r="G32" s="52" t="str">
        <x:v>评分型</x:v>
      </x:c>
      <x:c r="H32" s="54" t="n">
        <x:v>0.2</x:v>
      </x:c>
      <x:c r="I32" s="52" t="str">
        <x:v>按活力值展现</x:v>
      </x:c>
      <x:c r="J32" s="52" t="str">
        <x:v>60–100活力值</x:v>
      </x:c>
      <x:c r="K32" s="52" t="str">
        <x:v>当前系统得分</x:v>
      </x:c>
      <x:c r="L32" s="52" t="str">
        <x:v>是</x:v>
      </x:c>
      <x:c r="M32" s="46" t="str">
        <x:v>细项权重用于模块内配置</x:v>
      </x:c>
    </x:row>
    <x:row r="33">
      <x:c r="A33" s="52" t="n">
        <x:v>27</x:v>
      </x:c>
      <x:c r="B33" s="52" t="n">
        <x:v>5</x:v>
      </x:c>
      <x:c r="C33" s="52" t="str">
        <x:v>模块五</x:v>
      </x:c>
      <x:c r="D33" s="52" t="str">
        <x:v>详细指标</x:v>
      </x:c>
      <x:c r="E33" s="46" t="str">
        <x:v>女性功能</x:v>
      </x:c>
      <x:c r="F33" s="46" t="str">
        <x:v>宫颈炎指数</x:v>
      </x:c>
      <x:c r="G33" s="52" t="str">
        <x:v>评分型</x:v>
      </x:c>
      <x:c r="H33" s="54" t="n">
        <x:v>0.2</x:v>
      </x:c>
      <x:c r="I33" s="52" t="str">
        <x:v>按活力值展现</x:v>
      </x:c>
      <x:c r="J33" s="52" t="str">
        <x:v>60–100活力值</x:v>
      </x:c>
      <x:c r="K33" s="52" t="str">
        <x:v>当前系统得分</x:v>
      </x:c>
      <x:c r="L33" s="52" t="str">
        <x:v>是</x:v>
      </x:c>
      <x:c r="M33" s="46" t="str">
        <x:v>细项权重用于模块内配置</x:v>
      </x:c>
    </x:row>
    <x:row r="34">
      <x:c r="A34" s="52" t="n">
        <x:v>28</x:v>
      </x:c>
      <x:c r="B34" s="52" t="n">
        <x:v>5</x:v>
      </x:c>
      <x:c r="C34" s="52" t="str">
        <x:v>模块五</x:v>
      </x:c>
      <x:c r="D34" s="52" t="str">
        <x:v>详细指标</x:v>
      </x:c>
      <x:c r="E34" s="46" t="str">
        <x:v>女性功能</x:v>
      </x:c>
      <x:c r="F34" s="46" t="str">
        <x:v>阴道炎指数</x:v>
      </x:c>
      <x:c r="G34" s="52" t="str">
        <x:v>评分型</x:v>
      </x:c>
      <x:c r="H34" s="54" t="n">
        <x:v>0.2</x:v>
      </x:c>
      <x:c r="I34" s="52" t="str">
        <x:v>按活力值展现</x:v>
      </x:c>
      <x:c r="J34" s="52" t="str">
        <x:v>60–100活力值</x:v>
      </x:c>
      <x:c r="K34" s="52" t="str">
        <x:v>当前系统得分</x:v>
      </x:c>
      <x:c r="L34" s="52" t="str">
        <x:v>是</x:v>
      </x:c>
      <x:c r="M34" s="46" t="str">
        <x:v>细项权重用于模块内配置</x:v>
      </x:c>
    </x:row>
    <x:row r="35">
      <x:c r="A35" s="52" t="n">
        <x:v>29</x:v>
      </x:c>
      <x:c r="B35" s="52" t="n">
        <x:v>5</x:v>
      </x:c>
      <x:c r="C35" s="52" t="str">
        <x:v>模块五</x:v>
      </x:c>
      <x:c r="D35" s="52" t="str">
        <x:v>详细指标</x:v>
      </x:c>
      <x:c r="E35" s="46" t="str">
        <x:v>女性功能</x:v>
      </x:c>
      <x:c r="F35" s="46" t="str">
        <x:v>乳腺增生风险</x:v>
      </x:c>
      <x:c r="G35" s="52" t="str">
        <x:v>评分型</x:v>
      </x:c>
      <x:c r="H35" s="54" t="n">
        <x:v>0.2</x:v>
      </x:c>
      <x:c r="I35" s="52" t="str">
        <x:v>按活力值展现</x:v>
      </x:c>
      <x:c r="J35" s="52" t="str">
        <x:v>60–100活力值</x:v>
      </x:c>
      <x:c r="K35" s="52" t="str">
        <x:v>当前系统得分</x:v>
      </x:c>
      <x:c r="L35" s="52" t="str">
        <x:v>是</x:v>
      </x:c>
      <x:c r="M35" s="46" t="str">
        <x:v>细项权重用于模块内配置</x:v>
      </x:c>
    </x:row>
    <x:row r="36">
      <x:c r="A36" s="67" t="n">
        <x:v>30</x:v>
      </x:c>
      <x:c r="B36" s="67" t="n">
        <x:v>6</x:v>
      </x:c>
      <x:c r="C36" s="67" t="str">
        <x:v>模块六</x:v>
      </x:c>
      <x:c r="D36" s="67" t="str">
        <x:v>模块指标</x:v>
      </x:c>
      <x:c r="E36" s="68" t="str">
        <x:v>男性功能</x:v>
      </x:c>
      <x:c r="F36" s="68" t="str"/>
      <x:c r="G36" s="67" t="str">
        <x:v>评分型</x:v>
      </x:c>
      <x:c r="H36" s="69" t="n">
        <x:v>1</x:v>
      </x:c>
      <x:c r="I36" s="67" t="str">
        <x:v>按活力值展现</x:v>
      </x:c>
      <x:c r="J36" s="67" t="str">
        <x:v>60–100活力值</x:v>
      </x:c>
      <x:c r="K36" s="67" t="str">
        <x:v>当前系统得分</x:v>
      </x:c>
      <x:c r="L36" s="67" t="str">
        <x:v>模块结果</x:v>
      </x:c>
      <x:c r="M36" s="68" t="str">
        <x:v>模块指标权重为100%</x:v>
      </x:c>
    </x:row>
    <x:row r="37">
      <x:c r="A37" s="52" t="n">
        <x:v>31</x:v>
      </x:c>
      <x:c r="B37" s="52" t="n">
        <x:v>6</x:v>
      </x:c>
      <x:c r="C37" s="52" t="str">
        <x:v>模块六</x:v>
      </x:c>
      <x:c r="D37" s="52" t="str">
        <x:v>详细指标</x:v>
      </x:c>
      <x:c r="E37" s="46" t="str">
        <x:v>男性功能</x:v>
      </x:c>
      <x:c r="F37" s="46" t="str">
        <x:v>勃起功能</x:v>
      </x:c>
      <x:c r="G37" s="52" t="str">
        <x:v>评分型</x:v>
      </x:c>
      <x:c r="H37" s="54" t="n">
        <x:v>0.25</x:v>
      </x:c>
      <x:c r="I37" s="52" t="str">
        <x:v>按活力值展现</x:v>
      </x:c>
      <x:c r="J37" s="52" t="str">
        <x:v>60–100活力值</x:v>
      </x:c>
      <x:c r="K37" s="52" t="str">
        <x:v>当前系统得分</x:v>
      </x:c>
      <x:c r="L37" s="52" t="str">
        <x:v>是</x:v>
      </x:c>
      <x:c r="M37" s="46" t="str">
        <x:v>细项权重用于模块内配置</x:v>
      </x:c>
    </x:row>
    <x:row r="38">
      <x:c r="A38" s="52" t="n">
        <x:v>32</x:v>
      </x:c>
      <x:c r="B38" s="52" t="n">
        <x:v>6</x:v>
      </x:c>
      <x:c r="C38" s="52" t="str">
        <x:v>模块六</x:v>
      </x:c>
      <x:c r="D38" s="52" t="str">
        <x:v>详细指标</x:v>
      </x:c>
      <x:c r="E38" s="46" t="str">
        <x:v>男性功能</x:v>
      </x:c>
      <x:c r="F38" s="46" t="str">
        <x:v>前列腺增生度</x:v>
      </x:c>
      <x:c r="G38" s="52" t="str">
        <x:v>评分型</x:v>
      </x:c>
      <x:c r="H38" s="54" t="n">
        <x:v>0.25</x:v>
      </x:c>
      <x:c r="I38" s="52" t="str">
        <x:v>按活力值展现</x:v>
      </x:c>
      <x:c r="J38" s="52" t="str">
        <x:v>60–100活力值</x:v>
      </x:c>
      <x:c r="K38" s="52" t="str">
        <x:v>当前系统得分</x:v>
      </x:c>
      <x:c r="L38" s="52" t="str">
        <x:v>是</x:v>
      </x:c>
      <x:c r="M38" s="46" t="str">
        <x:v>细项权重用于模块内配置</x:v>
      </x:c>
    </x:row>
    <x:row r="39">
      <x:c r="A39" s="52" t="n">
        <x:v>33</x:v>
      </x:c>
      <x:c r="B39" s="52" t="n">
        <x:v>6</x:v>
      </x:c>
      <x:c r="C39" s="52" t="str">
        <x:v>模块六</x:v>
      </x:c>
      <x:c r="D39" s="52" t="str">
        <x:v>详细指标</x:v>
      </x:c>
      <x:c r="E39" s="46" t="str">
        <x:v>男性功能</x:v>
      </x:c>
      <x:c r="F39" s="46" t="str">
        <x:v>前列腺钙化度</x:v>
      </x:c>
      <x:c r="G39" s="52" t="str">
        <x:v>评分型</x:v>
      </x:c>
      <x:c r="H39" s="54" t="n">
        <x:v>0.25</x:v>
      </x:c>
      <x:c r="I39" s="52" t="str">
        <x:v>按活力值展现</x:v>
      </x:c>
      <x:c r="J39" s="52" t="str">
        <x:v>60–100活力值</x:v>
      </x:c>
      <x:c r="K39" s="52" t="str">
        <x:v>当前系统得分</x:v>
      </x:c>
      <x:c r="L39" s="52" t="str">
        <x:v>是</x:v>
      </x:c>
      <x:c r="M39" s="46" t="str">
        <x:v>细项权重用于模块内配置</x:v>
      </x:c>
    </x:row>
    <x:row r="40">
      <x:c r="A40" s="52" t="n">
        <x:v>34</x:v>
      </x:c>
      <x:c r="B40" s="52" t="n">
        <x:v>6</x:v>
      </x:c>
      <x:c r="C40" s="52" t="str">
        <x:v>模块六</x:v>
      </x:c>
      <x:c r="D40" s="52" t="str">
        <x:v>详细指标</x:v>
      </x:c>
      <x:c r="E40" s="46" t="str">
        <x:v>男性功能</x:v>
      </x:c>
      <x:c r="F40" s="46" t="str">
        <x:v>前列腺炎症</x:v>
      </x:c>
      <x:c r="G40" s="52" t="str">
        <x:v>评分型</x:v>
      </x:c>
      <x:c r="H40" s="54" t="n">
        <x:v>0.25</x:v>
      </x:c>
      <x:c r="I40" s="52" t="str">
        <x:v>按活力值展现</x:v>
      </x:c>
      <x:c r="J40" s="52" t="str">
        <x:v>60–100活力值</x:v>
      </x:c>
      <x:c r="K40" s="52" t="str">
        <x:v>当前系统得分</x:v>
      </x:c>
      <x:c r="L40" s="52" t="str">
        <x:v>是</x:v>
      </x:c>
      <x:c r="M40" s="46" t="str">
        <x:v>细项权重用于模块内配置</x:v>
      </x:c>
    </x:row>
    <x:row r="41">
      <x:c r="A41" s="67" t="n">
        <x:v>35</x:v>
      </x:c>
      <x:c r="B41" s="67" t="n">
        <x:v>7</x:v>
      </x:c>
      <x:c r="C41" s="67" t="str">
        <x:v>模块七</x:v>
      </x:c>
      <x:c r="D41" s="67" t="str">
        <x:v>模块指标</x:v>
      </x:c>
      <x:c r="E41" s="68" t="str">
        <x:v>免疫力</x:v>
      </x:c>
      <x:c r="F41" s="68" t="str"/>
      <x:c r="G41" s="67" t="str">
        <x:v>评分型</x:v>
      </x:c>
      <x:c r="H41" s="69" t="n">
        <x:v>1</x:v>
      </x:c>
      <x:c r="I41" s="67" t="str">
        <x:v>按活力值展现</x:v>
      </x:c>
      <x:c r="J41" s="67" t="str">
        <x:v>60–100活力值</x:v>
      </x:c>
      <x:c r="K41" s="67" t="str">
        <x:v>当前系统得分</x:v>
      </x:c>
      <x:c r="L41" s="67" t="str">
        <x:v>模块结果</x:v>
      </x:c>
      <x:c r="M41" s="68" t="str">
        <x:v>模块指标权重为100%</x:v>
      </x:c>
    </x:row>
    <x:row r="42">
      <x:c r="A42" s="52" t="n">
        <x:v>36</x:v>
      </x:c>
      <x:c r="B42" s="52" t="n">
        <x:v>7</x:v>
      </x:c>
      <x:c r="C42" s="52" t="str">
        <x:v>模块七</x:v>
      </x:c>
      <x:c r="D42" s="52" t="str">
        <x:v>详细指标</x:v>
      </x:c>
      <x:c r="E42" s="46" t="str">
        <x:v>免疫力</x:v>
      </x:c>
      <x:c r="F42" s="46" t="str">
        <x:v>淋巴结</x:v>
      </x:c>
      <x:c r="G42" s="52" t="str">
        <x:v>评分型</x:v>
      </x:c>
      <x:c r="H42" s="54" t="n">
        <x:v>0.2</x:v>
      </x:c>
      <x:c r="I42" s="52" t="str">
        <x:v>按活力值展现</x:v>
      </x:c>
      <x:c r="J42" s="52" t="str">
        <x:v>60–100活力值</x:v>
      </x:c>
      <x:c r="K42" s="52" t="str">
        <x:v>当前系统得分</x:v>
      </x:c>
      <x:c r="L42" s="52" t="str">
        <x:v>是</x:v>
      </x:c>
      <x:c r="M42" s="46" t="str">
        <x:v>细项权重用于模块内配置</x:v>
      </x:c>
    </x:row>
    <x:row r="43">
      <x:c r="A43" s="52" t="n">
        <x:v>37</x:v>
      </x:c>
      <x:c r="B43" s="52" t="n">
        <x:v>7</x:v>
      </x:c>
      <x:c r="C43" s="52" t="str">
        <x:v>模块七</x:v>
      </x:c>
      <x:c r="D43" s="52" t="str">
        <x:v>详细指标</x:v>
      </x:c>
      <x:c r="E43" s="46" t="str">
        <x:v>免疫力</x:v>
      </x:c>
      <x:c r="F43" s="46" t="str">
        <x:v>扁桃体免疫力</x:v>
      </x:c>
      <x:c r="G43" s="52" t="str">
        <x:v>评分型</x:v>
      </x:c>
      <x:c r="H43" s="54" t="n">
        <x:v>0.15</x:v>
      </x:c>
      <x:c r="I43" s="52" t="str">
        <x:v>按活力值展现</x:v>
      </x:c>
      <x:c r="J43" s="52" t="str">
        <x:v>60–100活力值</x:v>
      </x:c>
      <x:c r="K43" s="52" t="str">
        <x:v>当前系统得分</x:v>
      </x:c>
      <x:c r="L43" s="52" t="str">
        <x:v>是</x:v>
      </x:c>
      <x:c r="M43" s="46" t="str">
        <x:v>细项权重用于模块内配置</x:v>
      </x:c>
    </x:row>
    <x:row r="44">
      <x:c r="A44" s="52" t="n">
        <x:v>38</x:v>
      </x:c>
      <x:c r="B44" s="52" t="n">
        <x:v>7</x:v>
      </x:c>
      <x:c r="C44" s="52" t="str">
        <x:v>模块七</x:v>
      </x:c>
      <x:c r="D44" s="52" t="str">
        <x:v>详细指标</x:v>
      </x:c>
      <x:c r="E44" s="46" t="str">
        <x:v>免疫力</x:v>
      </x:c>
      <x:c r="F44" s="46" t="str">
        <x:v>免疫球蛋白</x:v>
      </x:c>
      <x:c r="G44" s="52" t="str">
        <x:v>评分型</x:v>
      </x:c>
      <x:c r="H44" s="54" t="n">
        <x:v>0.15</x:v>
      </x:c>
      <x:c r="I44" s="52" t="str">
        <x:v>按活力值展现</x:v>
      </x:c>
      <x:c r="J44" s="52" t="str">
        <x:v>60–100活力值</x:v>
      </x:c>
      <x:c r="K44" s="52" t="str">
        <x:v>当前系统得分</x:v>
      </x:c>
      <x:c r="L44" s="52" t="str">
        <x:v>是</x:v>
      </x:c>
      <x:c r="M44" s="46" t="str">
        <x:v>细项权重用于模块内配置</x:v>
      </x:c>
    </x:row>
    <x:row r="45">
      <x:c r="A45" s="52" t="n">
        <x:v>39</x:v>
      </x:c>
      <x:c r="B45" s="52" t="n">
        <x:v>7</x:v>
      </x:c>
      <x:c r="C45" s="52" t="str">
        <x:v>模块七</x:v>
      </x:c>
      <x:c r="D45" s="52" t="str">
        <x:v>详细指标</x:v>
      </x:c>
      <x:c r="E45" s="46" t="str">
        <x:v>免疫力</x:v>
      </x:c>
      <x:c r="F45" s="46" t="str">
        <x:v>呼吸道免疫力</x:v>
      </x:c>
      <x:c r="G45" s="52" t="str">
        <x:v>评分型</x:v>
      </x:c>
      <x:c r="H45" s="54" t="n">
        <x:v>0.15</x:v>
      </x:c>
      <x:c r="I45" s="52" t="str">
        <x:v>按活力值展现</x:v>
      </x:c>
      <x:c r="J45" s="52" t="str">
        <x:v>60–100活力值</x:v>
      </x:c>
      <x:c r="K45" s="52" t="str">
        <x:v>当前系统得分</x:v>
      </x:c>
      <x:c r="L45" s="52" t="str">
        <x:v>是</x:v>
      </x:c>
      <x:c r="M45" s="46" t="str">
        <x:v>细项权重用于模块内配置</x:v>
      </x:c>
    </x:row>
    <x:row r="46">
      <x:c r="A46" s="52" t="n">
        <x:v>40</x:v>
      </x:c>
      <x:c r="B46" s="52" t="n">
        <x:v>7</x:v>
      </x:c>
      <x:c r="C46" s="52" t="str">
        <x:v>模块七</x:v>
      </x:c>
      <x:c r="D46" s="52" t="str">
        <x:v>详细指标</x:v>
      </x:c>
      <x:c r="E46" s="46" t="str">
        <x:v>免疫力</x:v>
      </x:c>
      <x:c r="F46" s="46" t="str">
        <x:v>脾脏功能</x:v>
      </x:c>
      <x:c r="G46" s="52" t="str">
        <x:v>评分型</x:v>
      </x:c>
      <x:c r="H46" s="54" t="n">
        <x:v>0.2</x:v>
      </x:c>
      <x:c r="I46" s="52" t="str">
        <x:v>按活力值展现</x:v>
      </x:c>
      <x:c r="J46" s="52" t="str">
        <x:v>60–100活力值</x:v>
      </x:c>
      <x:c r="K46" s="52" t="str">
        <x:v>当前系统得分</x:v>
      </x:c>
      <x:c r="L46" s="52" t="str">
        <x:v>是</x:v>
      </x:c>
      <x:c r="M46" s="46" t="str">
        <x:v>细项权重用于模块内配置</x:v>
      </x:c>
    </x:row>
    <x:row r="47">
      <x:c r="A47" s="52" t="n">
        <x:v>41</x:v>
      </x:c>
      <x:c r="B47" s="52" t="n">
        <x:v>7</x:v>
      </x:c>
      <x:c r="C47" s="52" t="str">
        <x:v>模块七</x:v>
      </x:c>
      <x:c r="D47" s="52" t="str">
        <x:v>详细指标</x:v>
      </x:c>
      <x:c r="E47" s="46" t="str">
        <x:v>免疫力</x:v>
      </x:c>
      <x:c r="F47" s="46" t="str">
        <x:v>消化道免疫力</x:v>
      </x:c>
      <x:c r="G47" s="52" t="str">
        <x:v>评分型</x:v>
      </x:c>
      <x:c r="H47" s="54" t="n">
        <x:v>0.15</x:v>
      </x:c>
      <x:c r="I47" s="52" t="str">
        <x:v>按活力值展现</x:v>
      </x:c>
      <x:c r="J47" s="52" t="str">
        <x:v>60–100活力值</x:v>
      </x:c>
      <x:c r="K47" s="52" t="str">
        <x:v>当前系统得分</x:v>
      </x:c>
      <x:c r="L47" s="52" t="str">
        <x:v>是</x:v>
      </x:c>
      <x:c r="M47" s="46" t="str">
        <x:v>细项权重用于模块内配置</x:v>
      </x:c>
    </x:row>
    <x:row r="48">
      <x:c r="A48" s="67" t="n">
        <x:v>42</x:v>
      </x:c>
      <x:c r="B48" s="67" t="n">
        <x:v>8</x:v>
      </x:c>
      <x:c r="C48" s="67" t="str">
        <x:v>模块八</x:v>
      </x:c>
      <x:c r="D48" s="67" t="str">
        <x:v>模块指标</x:v>
      </x:c>
      <x:c r="E48" s="68" t="str">
        <x:v>骨骼</x:v>
      </x:c>
      <x:c r="F48" s="68" t="str"/>
      <x:c r="G48" s="67" t="str">
        <x:v>评分型</x:v>
      </x:c>
      <x:c r="H48" s="69" t="n">
        <x:v>1</x:v>
      </x:c>
      <x:c r="I48" s="67" t="str">
        <x:v>按活力值展现</x:v>
      </x:c>
      <x:c r="J48" s="67" t="str">
        <x:v>60–100活力值</x:v>
      </x:c>
      <x:c r="K48" s="67" t="str">
        <x:v>当前系统得分</x:v>
      </x:c>
      <x:c r="L48" s="67" t="str">
        <x:v>模块结果</x:v>
      </x:c>
      <x:c r="M48" s="68" t="str">
        <x:v>模块指标权重为100%</x:v>
      </x:c>
    </x:row>
    <x:row r="49">
      <x:c r="A49" s="52" t="n">
        <x:v>43</x:v>
      </x:c>
      <x:c r="B49" s="52" t="n">
        <x:v>8</x:v>
      </x:c>
      <x:c r="C49" s="52" t="str">
        <x:v>模块八</x:v>
      </x:c>
      <x:c r="D49" s="52" t="str">
        <x:v>详细指标</x:v>
      </x:c>
      <x:c r="E49" s="46" t="str">
        <x:v>骨骼</x:v>
      </x:c>
      <x:c r="F49" s="46" t="str">
        <x:v>骨质疏松</x:v>
      </x:c>
      <x:c r="G49" s="52" t="str">
        <x:v>评分型</x:v>
      </x:c>
      <x:c r="H49" s="54" t="n">
        <x:v>0.25</x:v>
      </x:c>
      <x:c r="I49" s="52" t="str">
        <x:v>按活力值展现</x:v>
      </x:c>
      <x:c r="J49" s="52" t="str">
        <x:v>60–100活力值</x:v>
      </x:c>
      <x:c r="K49" s="52" t="str">
        <x:v>当前系统得分</x:v>
      </x:c>
      <x:c r="L49" s="52" t="str">
        <x:v>是</x:v>
      </x:c>
      <x:c r="M49" s="46" t="str">
        <x:v>细项权重用于模块内配置</x:v>
      </x:c>
    </x:row>
    <x:row r="50">
      <x:c r="A50" s="52" t="n">
        <x:v>44</x:v>
      </x:c>
      <x:c r="B50" s="52" t="n">
        <x:v>8</x:v>
      </x:c>
      <x:c r="C50" s="52" t="str">
        <x:v>模块八</x:v>
      </x:c>
      <x:c r="D50" s="52" t="str">
        <x:v>详细指标</x:v>
      </x:c>
      <x:c r="E50" s="46" t="str">
        <x:v>骨骼</x:v>
      </x:c>
      <x:c r="F50" s="46" t="str">
        <x:v>骨质增生</x:v>
      </x:c>
      <x:c r="G50" s="52" t="str">
        <x:v>评分型</x:v>
      </x:c>
      <x:c r="H50" s="54" t="n">
        <x:v>0.25</x:v>
      </x:c>
      <x:c r="I50" s="52" t="str">
        <x:v>按活力值展现</x:v>
      </x:c>
      <x:c r="J50" s="52" t="str">
        <x:v>60–100活力值</x:v>
      </x:c>
      <x:c r="K50" s="52" t="str">
        <x:v>当前系统得分</x:v>
      </x:c>
      <x:c r="L50" s="52" t="str">
        <x:v>是</x:v>
      </x:c>
      <x:c r="M50" s="46" t="str">
        <x:v>细项权重用于模块内配置</x:v>
      </x:c>
    </x:row>
    <x:row r="51">
      <x:c r="A51" s="52" t="n">
        <x:v>45</x:v>
      </x:c>
      <x:c r="B51" s="52" t="n">
        <x:v>8</x:v>
      </x:c>
      <x:c r="C51" s="52" t="str">
        <x:v>模块八</x:v>
      </x:c>
      <x:c r="D51" s="52" t="str">
        <x:v>详细指标</x:v>
      </x:c>
      <x:c r="E51" s="46" t="str">
        <x:v>骨骼</x:v>
      </x:c>
      <x:c r="F51" s="46" t="str">
        <x:v>颈椎钙化</x:v>
      </x:c>
      <x:c r="G51" s="52" t="str">
        <x:v>评分型</x:v>
      </x:c>
      <x:c r="H51" s="54" t="n">
        <x:v>0.25</x:v>
      </x:c>
      <x:c r="I51" s="52" t="str">
        <x:v>按活力值展现</x:v>
      </x:c>
      <x:c r="J51" s="52" t="str">
        <x:v>60–100活力值</x:v>
      </x:c>
      <x:c r="K51" s="52" t="str">
        <x:v>当前系统得分</x:v>
      </x:c>
      <x:c r="L51" s="52" t="str">
        <x:v>是</x:v>
      </x:c>
      <x:c r="M51" s="46" t="str">
        <x:v>细项权重用于模块内配置</x:v>
      </x:c>
    </x:row>
    <x:row r="52">
      <x:c r="A52" s="52" t="n">
        <x:v>46</x:v>
      </x:c>
      <x:c r="B52" s="52" t="n">
        <x:v>8</x:v>
      </x:c>
      <x:c r="C52" s="52" t="str">
        <x:v>模块八</x:v>
      </x:c>
      <x:c r="D52" s="52" t="str">
        <x:v>详细指标</x:v>
      </x:c>
      <x:c r="E52" s="46" t="str">
        <x:v>骨骼</x:v>
      </x:c>
      <x:c r="F52" s="46" t="str">
        <x:v>腰椎钙化</x:v>
      </x:c>
      <x:c r="G52" s="52" t="str">
        <x:v>评分型</x:v>
      </x:c>
      <x:c r="H52" s="54" t="n">
        <x:v>0.25</x:v>
      </x:c>
      <x:c r="I52" s="52" t="str">
        <x:v>按活力值展现</x:v>
      </x:c>
      <x:c r="J52" s="52" t="str">
        <x:v>60–100活力值</x:v>
      </x:c>
      <x:c r="K52" s="52" t="str">
        <x:v>当前系统得分</x:v>
      </x:c>
      <x:c r="L52" s="52" t="str">
        <x:v>是</x:v>
      </x:c>
      <x:c r="M52" s="46" t="str">
        <x:v>细项权重用于模块内配置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cd92bf19595542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</x:cols>
  <x:sheetData>
    <x:row r="1" ht="34" customHeight="1">
      <x:c r="A1" s="3" t="str">
        <x:v>模块汇总与权重校验</x:v>
      </x:c>
      <x:c r="B1" s="3" t="str">
        <x:v>模块汇总与权重校验</x:v>
      </x:c>
      <x:c r="C1" s="3" t="str">
        <x:v>模块汇总与权重校验</x:v>
      </x:c>
      <x:c r="D1" s="3" t="str">
        <x:v>模块汇总与权重校验</x:v>
      </x:c>
      <x:c r="E1" s="3" t="str">
        <x:v>模块汇总与权重校验</x:v>
      </x:c>
      <x:c r="F1" s="3" t="str">
        <x:v>模块汇总与权重校验</x:v>
      </x:c>
      <x:c r="G1" s="3" t="str">
        <x:v>模块汇总与权重校验</x:v>
      </x:c>
      <x:c r="H1" s="3" t="str">
        <x:v>模块汇总与权重校验</x:v>
      </x:c>
    </x:row>
    <x:row r="2" ht="30" customHeight="1">
      <x:c r="A2" s="7" t="str">
        <x:v>校验口径：只汇总“详细指标 + 评分型”的模块内权重；直接展示型不参与加权。所有结果均由“指标配置”公式计算。</x:v>
      </x:c>
      <x:c r="B2" s="7" t="str">
        <x:v>校验口径：只汇总“详细指标 + 评分型”的模块内权重；直接展示型不参与加权。所有结果均由“指标配置”公式计算。</x:v>
      </x:c>
      <x:c r="C2" s="7" t="str">
        <x:v>校验口径：只汇总“详细指标 + 评分型”的模块内权重；直接展示型不参与加权。所有结果均由“指标配置”公式计算。</x:v>
      </x:c>
      <x:c r="D2" s="7" t="str">
        <x:v>校验口径：只汇总“详细指标 + 评分型”的模块内权重；直接展示型不参与加权。所有结果均由“指标配置”公式计算。</x:v>
      </x:c>
      <x:c r="E2" s="7" t="str">
        <x:v>校验口径：只汇总“详细指标 + 评分型”的模块内权重；直接展示型不参与加权。所有结果均由“指标配置”公式计算。</x:v>
      </x:c>
      <x:c r="F2" s="7" t="str">
        <x:v>校验口径：只汇总“详细指标 + 评分型”的模块内权重；直接展示型不参与加权。所有结果均由“指标配置”公式计算。</x:v>
      </x:c>
      <x:c r="G2" s="7" t="str">
        <x:v>校验口径：只汇总“详细指标 + 评分型”的模块内权重；直接展示型不参与加权。所有结果均由“指标配置”公式计算。</x:v>
      </x:c>
      <x:c r="H2" s="7" t="str">
        <x:v>校验口径：只汇总“详细指标 + 评分型”的模块内权重；直接展示型不参与加权。所有结果均由“指标配置”公式计算。</x:v>
      </x:c>
    </x:row>
    <x:row r="4">
      <x:c r="A4" s="39" t="str">
        <x:v>模块编号</x:v>
      </x:c>
      <x:c r="B4" s="39" t="str">
        <x:v>展现模块</x:v>
      </x:c>
      <x:c r="C4" s="39" t="str">
        <x:v>器官组织指标</x:v>
      </x:c>
      <x:c r="D4" s="39" t="str">
        <x:v>评分细项数</x:v>
      </x:c>
      <x:c r="E4" s="39" t="str">
        <x:v>直接展示项数</x:v>
      </x:c>
      <x:c r="F4" s="39" t="str">
        <x:v>细项权重合计</x:v>
      </x:c>
      <x:c r="G4" s="39" t="str">
        <x:v>校验结果</x:v>
      </x:c>
      <x:c r="H4" s="39" t="str">
        <x:v>业务备注</x:v>
      </x:c>
    </x:row>
    <x:row r="5">
      <x:c r="A5" s="51" t="n">
        <x:v>1</x:v>
      </x:c>
      <x:c r="B5" s="51" t="str">
        <x:v>模块一</x:v>
      </x:c>
      <x:c r="C5" s="51" t="str">
        <x:v>心血管</x:v>
      </x:c>
      <x:c r="D5" s="51" t="n">
        <x:f>COUNTIFS('指标配置'!$C$7:$C$52,B5,'指标配置'!$D$7:$D$52,"详细指标",'指标配置'!$G$7:$G$52,"评分型")</x:f>
        <x:v>3</x:v>
      </x:c>
      <x:c r="E5" s="51" t="n">
        <x:f>COUNTIFS('指标配置'!$C$7:$C$52,B5,'指标配置'!$G$7:$G$52,"直接展示型")</x:f>
        <x:v>3</x:v>
      </x:c>
      <x:c r="F5" s="53" t="n">
        <x:f>SUMIFS('指标配置'!$H$7:$H$52,'指标配置'!$C$7:$C$52,B5,'指标配置'!$D$7:$D$52,"详细指标",'指标配置'!$G$7:$G$52,"评分型")</x:f>
        <x:v>1</x:v>
      </x:c>
      <x:c r="G5" s="51" t="str">
        <x:f>IF(F5=100%,"通过","检查")</x:f>
        <x:v>通过</x:v>
      </x:c>
      <x:c r="H5" s="45" t="str">
        <x:v>通用模块</x:v>
      </x:c>
    </x:row>
    <x:row r="6">
      <x:c r="A6" s="52" t="n">
        <x:v>2</x:v>
      </x:c>
      <x:c r="B6" s="52" t="str">
        <x:v>模块二</x:v>
      </x:c>
      <x:c r="C6" s="52" t="str">
        <x:v>肺功能</x:v>
      </x:c>
      <x:c r="D6" s="52" t="n">
        <x:f>COUNTIFS('指标配置'!$C$7:$C$52,B6,'指标配置'!$D$7:$D$52,"详细指标",'指标配置'!$G$7:$G$52,"评分型")</x:f>
        <x:v>3</x:v>
      </x:c>
      <x:c r="E6" s="52" t="n">
        <x:f>COUNTIFS('指标配置'!$C$7:$C$52,B6,'指标配置'!$G$7:$G$52,"直接展示型")</x:f>
        <x:v>1</x:v>
      </x:c>
      <x:c r="F6" s="54" t="n">
        <x:f>SUMIFS('指标配置'!$H$7:$H$52,'指标配置'!$C$7:$C$52,B6,'指标配置'!$D$7:$D$52,"详细指标",'指标配置'!$G$7:$G$52,"评分型")</x:f>
        <x:v>1</x:v>
      </x:c>
      <x:c r="G6" s="52" t="str">
        <x:f>IF(F6=100%,"通过","检查")</x:f>
        <x:v>通过</x:v>
      </x:c>
      <x:c r="H6" s="46" t="str">
        <x:v>通用模块</x:v>
      </x:c>
    </x:row>
    <x:row r="7">
      <x:c r="A7" s="52" t="n">
        <x:v>3</x:v>
      </x:c>
      <x:c r="B7" s="52" t="str">
        <x:v>模块三</x:v>
      </x:c>
      <x:c r="C7" s="52" t="str">
        <x:v>消化系统</x:v>
      </x:c>
      <x:c r="D7" s="52" t="n">
        <x:f>COUNTIFS('指标配置'!$C$7:$C$52,B7,'指标配置'!$D$7:$D$52,"详细指标",'指标配置'!$G$7:$G$52,"评分型")</x:f>
        <x:v>5</x:v>
      </x:c>
      <x:c r="E7" s="52" t="n">
        <x:f>COUNTIFS('指标配置'!$C$7:$C$52,B7,'指标配置'!$G$7:$G$52,"直接展示型")</x:f>
        <x:v>0</x:v>
      </x:c>
      <x:c r="F7" s="54" t="n">
        <x:f>SUMIFS('指标配置'!$H$7:$H$52,'指标配置'!$C$7:$C$52,B7,'指标配置'!$D$7:$D$52,"详细指标",'指标配置'!$G$7:$G$52,"评分型")</x:f>
        <x:v>1</x:v>
      </x:c>
      <x:c r="G7" s="52" t="str">
        <x:f>IF(F7=100%,"通过","检查")</x:f>
        <x:v>通过</x:v>
      </x:c>
      <x:c r="H7" s="46" t="str">
        <x:v>通用模块</x:v>
      </x:c>
    </x:row>
    <x:row r="8">
      <x:c r="A8" s="52" t="n">
        <x:v>4</x:v>
      </x:c>
      <x:c r="B8" s="52" t="str">
        <x:v>模块四</x:v>
      </x:c>
      <x:c r="C8" s="52" t="str">
        <x:v>内分泌</x:v>
      </x:c>
      <x:c r="D8" s="52" t="n">
        <x:f>COUNTIFS('指标配置'!$C$7:$C$52,B8,'指标配置'!$D$7:$D$52,"详细指标",'指标配置'!$G$7:$G$52,"评分型")</x:f>
        <x:v>4</x:v>
      </x:c>
      <x:c r="E8" s="52" t="n">
        <x:f>COUNTIFS('指标配置'!$C$7:$C$52,B8,'指标配置'!$G$7:$G$52,"直接展示型")</x:f>
        <x:v>0</x:v>
      </x:c>
      <x:c r="F8" s="54" t="n">
        <x:f>SUMIFS('指标配置'!$H$7:$H$52,'指标配置'!$C$7:$C$52,B8,'指标配置'!$D$7:$D$52,"详细指标",'指标配置'!$G$7:$G$52,"评分型")</x:f>
        <x:v>1</x:v>
      </x:c>
      <x:c r="G8" s="52" t="str">
        <x:f>IF(F8=100%,"通过","检查")</x:f>
        <x:v>通过</x:v>
      </x:c>
      <x:c r="H8" s="46" t="str">
        <x:v>通用模块</x:v>
      </x:c>
    </x:row>
    <x:row r="9">
      <x:c r="A9" s="52" t="n">
        <x:v>5</x:v>
      </x:c>
      <x:c r="B9" s="52" t="str">
        <x:v>模块五</x:v>
      </x:c>
      <x:c r="C9" s="52" t="str">
        <x:v>女性功能</x:v>
      </x:c>
      <x:c r="D9" s="52" t="n">
        <x:f>COUNTIFS('指标配置'!$C$7:$C$52,B9,'指标配置'!$D$7:$D$52,"详细指标",'指标配置'!$G$7:$G$52,"评分型")</x:f>
        <x:v>5</x:v>
      </x:c>
      <x:c r="E9" s="52" t="n">
        <x:f>COUNTIFS('指标配置'!$C$7:$C$52,B9,'指标配置'!$G$7:$G$52,"直接展示型")</x:f>
        <x:v>0</x:v>
      </x:c>
      <x:c r="F9" s="54" t="n">
        <x:f>SUMIFS('指标配置'!$H$7:$H$52,'指标配置'!$C$7:$C$52,B9,'指标配置'!$D$7:$D$52,"详细指标",'指标配置'!$G$7:$G$52,"评分型")</x:f>
        <x:v>1</x:v>
      </x:c>
      <x:c r="G9" s="52" t="str">
        <x:f>IF(F9=100%,"通过","检查")</x:f>
        <x:v>通过</x:v>
      </x:c>
      <x:c r="H9" s="46" t="str">
        <x:v>女性适用</x:v>
      </x:c>
    </x:row>
    <x:row r="10">
      <x:c r="A10" s="52" t="n">
        <x:v>6</x:v>
      </x:c>
      <x:c r="B10" s="52" t="str">
        <x:v>模块六</x:v>
      </x:c>
      <x:c r="C10" s="52" t="str">
        <x:v>男性功能</x:v>
      </x:c>
      <x:c r="D10" s="52" t="n">
        <x:f>COUNTIFS('指标配置'!$C$7:$C$52,B10,'指标配置'!$D$7:$D$52,"详细指标",'指标配置'!$G$7:$G$52,"评分型")</x:f>
        <x:v>4</x:v>
      </x:c>
      <x:c r="E10" s="52" t="n">
        <x:f>COUNTIFS('指标配置'!$C$7:$C$52,B10,'指标配置'!$G$7:$G$52,"直接展示型")</x:f>
        <x:v>0</x:v>
      </x:c>
      <x:c r="F10" s="54" t="n">
        <x:f>SUMIFS('指标配置'!$H$7:$H$52,'指标配置'!$C$7:$C$52,B10,'指标配置'!$D$7:$D$52,"详细指标",'指标配置'!$G$7:$G$52,"评分型")</x:f>
        <x:v>1</x:v>
      </x:c>
      <x:c r="G10" s="52" t="str">
        <x:f>IF(F10=100%,"通过","检查")</x:f>
        <x:v>通过</x:v>
      </x:c>
      <x:c r="H10" s="46" t="str">
        <x:v>男性适用</x:v>
      </x:c>
    </x:row>
    <x:row r="11">
      <x:c r="A11" s="52" t="n">
        <x:v>7</x:v>
      </x:c>
      <x:c r="B11" s="52" t="str">
        <x:v>模块七</x:v>
      </x:c>
      <x:c r="C11" s="52" t="str">
        <x:v>免疫力</x:v>
      </x:c>
      <x:c r="D11" s="52" t="n">
        <x:f>COUNTIFS('指标配置'!$C$7:$C$52,B11,'指标配置'!$D$7:$D$52,"详细指标",'指标配置'!$G$7:$G$52,"评分型")</x:f>
        <x:v>6</x:v>
      </x:c>
      <x:c r="E11" s="52" t="n">
        <x:f>COUNTIFS('指标配置'!$C$7:$C$52,B11,'指标配置'!$G$7:$G$52,"直接展示型")</x:f>
        <x:v>0</x:v>
      </x:c>
      <x:c r="F11" s="54" t="n">
        <x:f>SUMIFS('指标配置'!$H$7:$H$52,'指标配置'!$C$7:$C$52,B11,'指标配置'!$D$7:$D$52,"详细指标",'指标配置'!$G$7:$G$52,"评分型")</x:f>
        <x:v>1</x:v>
      </x:c>
      <x:c r="G11" s="52" t="str">
        <x:f>IF(F11=100%,"通过","检查")</x:f>
        <x:v>通过</x:v>
      </x:c>
      <x:c r="H11" s="46" t="str">
        <x:v>通用模块</x:v>
      </x:c>
    </x:row>
    <x:row r="12">
      <x:c r="A12" s="52" t="n">
        <x:v>8</x:v>
      </x:c>
      <x:c r="B12" s="52" t="str">
        <x:v>模块八</x:v>
      </x:c>
      <x:c r="C12" s="52" t="str">
        <x:v>骨骼</x:v>
      </x:c>
      <x:c r="D12" s="52" t="n">
        <x:f>COUNTIFS('指标配置'!$C$7:$C$52,B12,'指标配置'!$D$7:$D$52,"详细指标",'指标配置'!$G$7:$G$52,"评分型")</x:f>
        <x:v>4</x:v>
      </x:c>
      <x:c r="E12" s="52" t="n">
        <x:f>COUNTIFS('指标配置'!$C$7:$C$52,B12,'指标配置'!$G$7:$G$52,"直接展示型")</x:f>
        <x:v>0</x:v>
      </x:c>
      <x:c r="F12" s="54" t="n">
        <x:f>SUMIFS('指标配置'!$H$7:$H$52,'指标配置'!$C$7:$C$52,B12,'指标配置'!$D$7:$D$52,"详细指标",'指标配置'!$G$7:$G$52,"评分型")</x:f>
        <x:v>1</x:v>
      </x:c>
      <x:c r="G12" s="52" t="str">
        <x:f>IF(F12=100%,"通过","检查")</x:f>
        <x:v>通过</x:v>
      </x:c>
      <x:c r="H12" s="46" t="str">
        <x:v>通用模块</x:v>
      </x:c>
    </x:row>
    <x:row r="14">
      <x:c r="A14" s="39" t="str">
        <x:v>校验项</x:v>
      </x:c>
      <x:c r="B14" s="39" t="str">
        <x:v>结果</x:v>
      </x:c>
      <x:c r="C14" s="39" t="str">
        <x:v>状态</x:v>
      </x:c>
    </x:row>
    <x:row r="15">
      <x:c r="A15" s="45" t="str">
        <x:v>通过模块数</x:v>
      </x:c>
      <x:c r="B15" s="45" t="n">
        <x:f>COUNTIF(G5:G12,"通过")</x:f>
        <x:v>8</x:v>
      </x:c>
      <x:c r="C15" s="45" t="str">
        <x:f>IF(B15=8,"通过","检查")</x:f>
        <x:v>通过</x:v>
      </x:c>
    </x:row>
    <x:row r="16">
      <x:c r="A16" s="46" t="str">
        <x:v>全部模块权重</x:v>
      </x:c>
      <x:c r="B16" s="50" t="n">
        <x:f>SUM(F5:F12)</x:f>
        <x:v>8</x:v>
      </x:c>
      <x:c r="C16" s="46" t="str">
        <x:f>IF(B16=800%,"通过","检查")</x:f>
        <x:v>通过</x:v>
      </x:c>
    </x:row>
  </x:sheetData>
  <x:mergeCells>
    <x:mergeCell ref="A1:H1"/>
    <x:mergeCell ref="A2:H2"/>
  </x:mergeCells>
  <x:conditionalFormatting sqref="G5:G12">
    <x:cfRule type="containsText" dxfId="0" priority="1" operator="containsText" text="通过"/>
    <x:cfRule type="containsText" dxfId="1" priority="2" operator="containsText" text="检查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6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</x:cols>
  <x:sheetData>
    <x:row r="1" ht="34" customHeight="1">
      <x:c r="A1" s="3" t="str">
        <x:v>展现方案一｜分值映射规则</x:v>
      </x:c>
      <x:c r="B1" s="3" t="str">
        <x:v>展现方案一｜分值映射规则</x:v>
      </x:c>
      <x:c r="C1" s="3" t="str">
        <x:v>展现方案一｜分值映射规则</x:v>
      </x:c>
      <x:c r="D1" s="3" t="str">
        <x:v>展现方案一｜分值映射规则</x:v>
      </x:c>
      <x:c r="E1" s="3" t="str">
        <x:v>展现方案一｜分值映射规则</x:v>
      </x:c>
      <x:c r="F1" s="3" t="str">
        <x:v>展现方案一｜分值映射规则</x:v>
      </x:c>
    </x:row>
    <x:row r="2" ht="30" customHeight="1">
      <x:c r="A2" s="7" t="str">
        <x:v>原图规则：按活力值展现，直接调用目前系统得分；满分100，最高100、最低60。下表提供可落地的工程口径与测试样例。</x:v>
      </x:c>
      <x:c r="B2" s="7" t="str">
        <x:v>原图规则：按活力值展现，直接调用目前系统得分；满分100，最高100、最低60。下表提供可落地的工程口径与测试样例。</x:v>
      </x:c>
      <x:c r="C2" s="7" t="str">
        <x:v>原图规则：按活力值展现，直接调用目前系统得分；满分100，最高100、最低60。下表提供可落地的工程口径与测试样例。</x:v>
      </x:c>
      <x:c r="D2" s="7" t="str">
        <x:v>原图规则：按活力值展现，直接调用目前系统得分；满分100，最高100、最低60。下表提供可落地的工程口径与测试样例。</x:v>
      </x:c>
      <x:c r="E2" s="7" t="str">
        <x:v>原图规则：按活力值展现，直接调用目前系统得分；满分100，最高100、最低60。下表提供可落地的工程口径与测试样例。</x:v>
      </x:c>
      <x:c r="F2" s="7" t="str">
        <x:v>原图规则：按活力值展现，直接调用目前系统得分；满分100，最高100、最低60。下表提供可落地的工程口径与测试样例。</x:v>
      </x:c>
    </x:row>
    <x:row r="4">
      <x:c r="A4" s="9" t="str">
        <x:v>规则定义</x:v>
      </x:c>
      <x:c r="B4" s="9" t="str">
        <x:v>规则定义</x:v>
      </x:c>
      <x:c r="C4" s="9" t="str">
        <x:v>规则定义</x:v>
      </x:c>
      <x:c r="D4" s="9" t="str">
        <x:v>规则定义</x:v>
      </x:c>
      <x:c r="E4" s="9" t="str">
        <x:v>规则定义</x:v>
      </x:c>
      <x:c r="F4" s="9" t="str">
        <x:v>规则定义</x:v>
      </x:c>
    </x:row>
    <x:row r="5">
      <x:c r="A5" s="39" t="str">
        <x:v>字段</x:v>
      </x:c>
      <x:c r="B5" s="39" t="str">
        <x:v>定义</x:v>
      </x:c>
    </x:row>
    <x:row r="6">
      <x:c r="A6" s="45" t="str">
        <x:v>输入</x:v>
      </x:c>
      <x:c r="B6" s="45" t="str">
        <x:v>当前系统得分</x:v>
      </x:c>
    </x:row>
    <x:row r="7">
      <x:c r="A7" s="46" t="str">
        <x:v>输出</x:v>
      </x:c>
      <x:c r="B7" s="46" t="str">
        <x:v>活力值</x:v>
      </x:c>
    </x:row>
    <x:row r="8">
      <x:c r="A8" s="46" t="str">
        <x:v>输出下限</x:v>
      </x:c>
      <x:c r="B8" s="46" t="n">
        <x:v>60</x:v>
      </x:c>
    </x:row>
    <x:row r="9">
      <x:c r="A9" s="46" t="str">
        <x:v>输出上限</x:v>
      </x:c>
      <x:c r="B9" s="46" t="n">
        <x:v>100</x:v>
      </x:c>
    </x:row>
    <x:row r="10">
      <x:c r="A10" s="46" t="str">
        <x:v>建议公式</x:v>
      </x:c>
      <x:c r="B10" s="46" t="str">
        <x:v>MAX(60, MIN(100, 当前系统得分))</x:v>
      </x:c>
    </x:row>
    <x:row r="12">
      <x:c r="A12" s="39" t="str">
        <x:v>系统得分（测试输入）</x:v>
      </x:c>
      <x:c r="B12" s="39" t="str">
        <x:v>下限</x:v>
      </x:c>
      <x:c r="C12" s="39" t="str">
        <x:v>上限</x:v>
      </x:c>
      <x:c r="D12" s="39" t="str">
        <x:v>方案一活力值</x:v>
      </x:c>
    </x:row>
    <x:row r="13">
      <x:c r="A13" s="51" t="n">
        <x:v>0</x:v>
      </x:c>
      <x:c r="B13" s="51" t="n">
        <x:v>60</x:v>
      </x:c>
      <x:c r="C13" s="51" t="n">
        <x:v>100</x:v>
      </x:c>
      <x:c r="D13" s="51" t="n">
        <x:f>MAX(B13,MIN(C13,A13))</x:f>
        <x:v>60</x:v>
      </x:c>
    </x:row>
    <x:row r="14">
      <x:c r="A14" s="52" t="n">
        <x:v>45</x:v>
      </x:c>
      <x:c r="B14" s="52" t="n">
        <x:v>60</x:v>
      </x:c>
      <x:c r="C14" s="52" t="n">
        <x:v>100</x:v>
      </x:c>
      <x:c r="D14" s="52" t="n">
        <x:f>MAX(B14,MIN(C14,A14))</x:f>
        <x:v>60</x:v>
      </x:c>
    </x:row>
    <x:row r="15">
      <x:c r="A15" s="52" t="n">
        <x:v>60</x:v>
      </x:c>
      <x:c r="B15" s="52" t="n">
        <x:v>60</x:v>
      </x:c>
      <x:c r="C15" s="52" t="n">
        <x:v>100</x:v>
      </x:c>
      <x:c r="D15" s="52" t="n">
        <x:f>MAX(B15,MIN(C15,A15))</x:f>
        <x:v>60</x:v>
      </x:c>
    </x:row>
    <x:row r="16">
      <x:c r="A16" s="52" t="n">
        <x:v>72</x:v>
      </x:c>
      <x:c r="B16" s="52" t="n">
        <x:v>60</x:v>
      </x:c>
      <x:c r="C16" s="52" t="n">
        <x:v>100</x:v>
      </x:c>
      <x:c r="D16" s="52" t="n">
        <x:f>MAX(B16,MIN(C16,A16))</x:f>
        <x:v>72</x:v>
      </x:c>
    </x:row>
    <x:row r="17">
      <x:c r="A17" s="52" t="n">
        <x:v>85</x:v>
      </x:c>
      <x:c r="B17" s="52" t="n">
        <x:v>60</x:v>
      </x:c>
      <x:c r="C17" s="52" t="n">
        <x:v>100</x:v>
      </x:c>
      <x:c r="D17" s="52" t="n">
        <x:f>MAX(B17,MIN(C17,A17))</x:f>
        <x:v>85</x:v>
      </x:c>
    </x:row>
    <x:row r="18">
      <x:c r="A18" s="52" t="n">
        <x:v>100</x:v>
      </x:c>
      <x:c r="B18" s="52" t="n">
        <x:v>60</x:v>
      </x:c>
      <x:c r="C18" s="52" t="n">
        <x:v>100</x:v>
      </x:c>
      <x:c r="D18" s="52" t="n">
        <x:f>MAX(B18,MIN(C18,A18))</x:f>
        <x:v>100</x:v>
      </x:c>
    </x:row>
    <x:row r="19">
      <x:c r="A19" s="52" t="n">
        <x:v>120</x:v>
      </x:c>
      <x:c r="B19" s="52" t="n">
        <x:v>60</x:v>
      </x:c>
      <x:c r="C19" s="52" t="n">
        <x:v>100</x:v>
      </x:c>
      <x:c r="D19" s="52" t="n">
        <x:f>MAX(B19,MIN(C19,A19))</x:f>
        <x:v>100</x:v>
      </x:c>
    </x:row>
    <x:row r="21">
      <x:c r="A21" s="72" t="str">
        <x:v>直接展示型指标：微循环、心率、心电图直接展示心电采集模块结果。</x:v>
      </x:c>
      <x:c r="B21" s="72"/>
      <x:c r="C21" s="72"/>
      <x:c r="D21" s="72"/>
      <x:c r="E21" s="72"/>
      <x:c r="F21" s="72"/>
    </x:row>
    <x:row r="22">
      <x:c r="A22" s="72" t="str">
        <x:v>直接展示型指标：血氧饱和度直接展示血样采集模块结果。</x:v>
      </x:c>
      <x:c r="B22" s="72"/>
      <x:c r="C22" s="72"/>
      <x:c r="D22" s="72"/>
      <x:c r="E22" s="72"/>
      <x:c r="F22" s="72"/>
    </x:row>
    <x:row r="23">
      <x:c r="A23" s="72" t="str">
        <x:v>上述直接展示型指标无计算权重，不适用60–100活力值映射。</x:v>
      </x:c>
      <x:c r="B23" s="72"/>
      <x:c r="C23" s="72"/>
      <x:c r="D23" s="72"/>
      <x:c r="E23" s="72"/>
      <x:c r="F23" s="72"/>
    </x:row>
  </x:sheetData>
  <x:mergeCells>
    <x:mergeCell ref="A1:F1"/>
    <x:mergeCell ref="A2:F2"/>
    <x:mergeCell ref="A4:F4"/>
    <x:mergeCell ref="A21:F21"/>
    <x:mergeCell ref="A22:F22"/>
    <x:mergeCell ref="A23:F23"/>
  </x:mergeCells>
  <x:conditionalFormatting sqref="D13:D19">
    <x:cfRule type="colorScale" priority="1">
      <x:colorScale>
        <x:cfvo type="min"/>
        <x:cfvo type="percentile" val="50"/>
        <x:cfvo type="max"/>
        <x:color rgb="FFFFF4D6"/>
        <x:color rgb="FFDDF1F0"/>
        <x:color rgb="FFE3F3E8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5" hidden="0" customWidth="1"/>
    <x:col min="4" max="4" width="58" hidden="0" customWidth="1"/>
  </x:cols>
  <x:sheetData>
    <x:row r="1" ht="34" customHeight="1">
      <x:c r="A1" s="3" t="str">
        <x:v>数据字典</x:v>
      </x:c>
      <x:c r="B1" s="3" t="str">
        <x:v>数据字典</x:v>
      </x:c>
      <x:c r="C1" s="3" t="str">
        <x:v>数据字典</x:v>
      </x:c>
      <x:c r="D1" s="3" t="str">
        <x:v>数据字典</x:v>
      </x:c>
    </x:row>
    <x:row r="2" ht="30" customHeight="1">
      <x:c r="A2" s="7" t="str">
        <x:v>定义“指标配置”表字段的含义、类型与填写规则，便于后续接口或数据库字段映射。</x:v>
      </x:c>
      <x:c r="B2" s="7" t="str">
        <x:v>定义“指标配置”表字段的含义、类型与填写规则，便于后续接口或数据库字段映射。</x:v>
      </x:c>
      <x:c r="C2" s="7" t="str">
        <x:v>定义“指标配置”表字段的含义、类型与填写规则，便于后续接口或数据库字段映射。</x:v>
      </x:c>
      <x:c r="D2" s="7" t="str">
        <x:v>定义“指标配置”表字段的含义、类型与填写规则，便于后续接口或数据库字段映射。</x:v>
      </x:c>
    </x:row>
    <x:row r="4">
      <x:c r="A4" s="39" t="str">
        <x:v>字段名</x:v>
      </x:c>
      <x:c r="B4" s="39" t="str">
        <x:v>数据类型</x:v>
      </x:c>
      <x:c r="C4" s="39" t="str">
        <x:v>是否必填</x:v>
      </x:c>
      <x:c r="D4" s="39" t="str">
        <x:v>字段说明</x:v>
      </x:c>
    </x:row>
    <x:row r="5">
      <x:c r="A5" s="51" t="str">
        <x:v>序号</x:v>
      </x:c>
      <x:c r="B5" s="51" t="str">
        <x:v>整数</x:v>
      </x:c>
      <x:c r="C5" s="51" t="str">
        <x:v>是</x:v>
      </x:c>
      <x:c r="D5" s="45" t="str">
        <x:v>原图行号，范围1–46</x:v>
      </x:c>
    </x:row>
    <x:row r="6">
      <x:c r="A6" s="52" t="str">
        <x:v>模块编号</x:v>
      </x:c>
      <x:c r="B6" s="52" t="str">
        <x:v>整数</x:v>
      </x:c>
      <x:c r="C6" s="52" t="str">
        <x:v>是</x:v>
      </x:c>
      <x:c r="D6" s="46" t="str">
        <x:v>模块顺序编号，范围1–8</x:v>
      </x:c>
    </x:row>
    <x:row r="7">
      <x:c r="A7" s="52" t="str">
        <x:v>展现模块</x:v>
      </x:c>
      <x:c r="B7" s="52" t="str">
        <x:v>文本</x:v>
      </x:c>
      <x:c r="C7" s="52" t="str">
        <x:v>是</x:v>
      </x:c>
      <x:c r="D7" s="46" t="str">
        <x:v>模块一至模块八</x:v>
      </x:c>
    </x:row>
    <x:row r="8">
      <x:c r="A8" s="52" t="str">
        <x:v>记录层级</x:v>
      </x:c>
      <x:c r="B8" s="52" t="str">
        <x:v>枚举</x:v>
      </x:c>
      <x:c r="C8" s="52" t="str">
        <x:v>是</x:v>
      </x:c>
      <x:c r="D8" s="46" t="str">
        <x:v>模块指标 / 详细指标</x:v>
      </x:c>
    </x:row>
    <x:row r="9">
      <x:c r="A9" s="52" t="str">
        <x:v>页面展现器官组织指标</x:v>
      </x:c>
      <x:c r="B9" s="52" t="str">
        <x:v>文本</x:v>
      </x:c>
      <x:c r="C9" s="52" t="str">
        <x:v>是</x:v>
      </x:c>
      <x:c r="D9" s="46" t="str">
        <x:v>心血管、肺功能、消化系统等一级指标</x:v>
      </x:c>
    </x:row>
    <x:row r="10">
      <x:c r="A10" s="52" t="str">
        <x:v>详细指标</x:v>
      </x:c>
      <x:c r="B10" s="52" t="str">
        <x:v>文本</x:v>
      </x:c>
      <x:c r="C10" s="52" t="str">
        <x:v>条件必填</x:v>
      </x:c>
      <x:c r="D10" s="46" t="str">
        <x:v>记录层级为详细指标时填写</x:v>
      </x:c>
    </x:row>
    <x:row r="11">
      <x:c r="A11" s="52" t="str">
        <x:v>指标角色</x:v>
      </x:c>
      <x:c r="B11" s="52" t="str">
        <x:v>枚举</x:v>
      </x:c>
      <x:c r="C11" s="52" t="str">
        <x:v>是</x:v>
      </x:c>
      <x:c r="D11" s="46" t="str">
        <x:v>评分型 / 直接展示型</x:v>
      </x:c>
    </x:row>
    <x:row r="12">
      <x:c r="A12" s="52" t="str">
        <x:v>计算权重</x:v>
      </x:c>
      <x:c r="B12" s="52" t="str">
        <x:v>百分比</x:v>
      </x:c>
      <x:c r="C12" s="52" t="str">
        <x:v>条件必填</x:v>
      </x:c>
      <x:c r="D12" s="46" t="str">
        <x:v>评分型必填；直接展示型为空</x:v>
      </x:c>
    </x:row>
    <x:row r="13">
      <x:c r="A13" s="52" t="str">
        <x:v>方案一展现方式</x:v>
      </x:c>
      <x:c r="B13" s="52" t="str">
        <x:v>文本</x:v>
      </x:c>
      <x:c r="C13" s="52" t="str">
        <x:v>是</x:v>
      </x:c>
      <x:c r="D13" s="46" t="str">
        <x:v>按活力值展现或直接展现采集结果</x:v>
      </x:c>
    </x:row>
    <x:row r="14">
      <x:c r="A14" s="52" t="str">
        <x:v>输出范围/格式</x:v>
      </x:c>
      <x:c r="B14" s="52" t="str">
        <x:v>文本</x:v>
      </x:c>
      <x:c r="C14" s="52" t="str">
        <x:v>是</x:v>
      </x:c>
      <x:c r="D14" s="46" t="str">
        <x:v>60–100活力值或原始采集结果</x:v>
      </x:c>
    </x:row>
    <x:row r="15">
      <x:c r="A15" s="52" t="str">
        <x:v>数据来源</x:v>
      </x:c>
      <x:c r="B15" s="52" t="str">
        <x:v>文本</x:v>
      </x:c>
      <x:c r="C15" s="52" t="str">
        <x:v>是</x:v>
      </x:c>
      <x:c r="D15" s="46" t="str">
        <x:v>当前系统得分、心电采集模块或血样采集模块</x:v>
      </x:c>
    </x:row>
    <x:row r="16">
      <x:c r="A16" s="52" t="str">
        <x:v>是否纳入模块加权</x:v>
      </x:c>
      <x:c r="B16" s="52" t="str">
        <x:v>枚举</x:v>
      </x:c>
      <x:c r="C16" s="52" t="str">
        <x:v>是</x:v>
      </x:c>
      <x:c r="D16" s="46" t="str">
        <x:v>是 / 否 / 模块结果</x:v>
      </x:c>
    </x:row>
    <x:row r="17">
      <x:c r="A17" s="52" t="str">
        <x:v>实现备注</x:v>
      </x:c>
      <x:c r="B17" s="52" t="str">
        <x:v>文本</x:v>
      </x:c>
      <x:c r="C17" s="52" t="str">
        <x:v>否</x:v>
      </x:c>
      <x:c r="D17" s="46" t="str">
        <x:v>实施和配置补充说明</x:v>
      </x:c>
    </x:row>
  </x:sheetData>
  <x:mergeCells>
    <x:mergeCell ref="A1:D1"/>
    <x:mergeCell ref="A2:D2"/>
  </x:mergeCells>
  <x:pageMargins left="0.7" right="0.7" top="0.75" bottom="0.75" header="0.3" footer="0.3"/>
</x:worksheet>
</file>